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1C30AE10-839D-4AAD-BFBF-116B8DAA0B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rativa 4 algoritmos" sheetId="1" r:id="rId1"/>
    <sheet name="Parametros us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B50" i="1"/>
  <c r="D49" i="1"/>
  <c r="C49" i="1"/>
  <c r="B49" i="1"/>
  <c r="D48" i="1"/>
  <c r="C48" i="1"/>
  <c r="B48" i="1"/>
  <c r="D47" i="1"/>
  <c r="C47" i="1"/>
  <c r="B47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E50" i="1" s="1"/>
  <c r="E47" i="1" l="1"/>
  <c r="E49" i="1"/>
  <c r="E48" i="1"/>
</calcChain>
</file>

<file path=xl/sharedStrings.xml><?xml version="1.0" encoding="utf-8"?>
<sst xmlns="http://schemas.openxmlformats.org/spreadsheetml/2006/main" count="257" uniqueCount="102">
  <si>
    <t>Filtro</t>
  </si>
  <si>
    <t>Modo</t>
  </si>
  <si>
    <t>Variante</t>
  </si>
  <si>
    <t>Entorno (V, R)</t>
  </si>
  <si>
    <t>Barrido AC</t>
  </si>
  <si>
    <t>Frecuencias esperadas</t>
  </si>
  <si>
    <t>Fitness AG</t>
  </si>
  <si>
    <t>Tiempo AG (s)</t>
  </si>
  <si>
    <t>Fitness PSO</t>
  </si>
  <si>
    <t>Tiempo PSO (s)</t>
  </si>
  <si>
    <t>Fitness BO</t>
  </si>
  <si>
    <t>Tiempo BO (s)</t>
  </si>
  <si>
    <t>PASAALTAS</t>
  </si>
  <si>
    <t>BASICO</t>
  </si>
  <si>
    <t>V=5V, Rf=Rc=470Ω</t>
  </si>
  <si>
    <t>1Hz–100000Hz</t>
  </si>
  <si>
    <t>fc_objetivo=1000</t>
  </si>
  <si>
    <t>V=8V, Rf=Rc=1000Ω</t>
  </si>
  <si>
    <t>10Hz–1000000Hz</t>
  </si>
  <si>
    <t>fc_objetivo=5000</t>
  </si>
  <si>
    <t>V=3V, Rf=Rc=220Ω</t>
  </si>
  <si>
    <t>1Hz–10000Hz</t>
  </si>
  <si>
    <t>fc_objetivo=100</t>
  </si>
  <si>
    <t>V=10V, Rf=Rc=100Ω</t>
  </si>
  <si>
    <t>100Hz–1000000Hz</t>
  </si>
  <si>
    <t>fc_objetivo=50000</t>
  </si>
  <si>
    <t>V=6V, Rf=Rc=680Ω</t>
  </si>
  <si>
    <t>1Hz–1000000Hz</t>
  </si>
  <si>
    <t>fc_objetivo=2000</t>
  </si>
  <si>
    <t>AVANZADO</t>
  </si>
  <si>
    <t>f_aten=100, f_paso=1000</t>
  </si>
  <si>
    <t>f_aten=1000, f_paso=10000</t>
  </si>
  <si>
    <t>f_aten=10, f_paso=100</t>
  </si>
  <si>
    <t>f_aten=10000, f_paso=100000</t>
  </si>
  <si>
    <t>f_aten=200, f_paso=2000</t>
  </si>
  <si>
    <t>PASABAJAS</t>
  </si>
  <si>
    <t>f_paso=100, f_aten=1000</t>
  </si>
  <si>
    <t>f_paso=1000, f_aten=10000</t>
  </si>
  <si>
    <t>f_paso=10, f_aten=100</t>
  </si>
  <si>
    <t>f_paso=10000, f_aten=100000</t>
  </si>
  <si>
    <t>f_paso=200, f_aten=2000</t>
  </si>
  <si>
    <t>PASABANDA</t>
  </si>
  <si>
    <t>fc_inferior=100, fc_superior=1000</t>
  </si>
  <si>
    <t>fc_inferior=1000, fc_superior=10000</t>
  </si>
  <si>
    <t>fc_inferior=10, fc_superior=100</t>
  </si>
  <si>
    <t>fc_inferior=2000, fc_superior=50000</t>
  </si>
  <si>
    <t>fc_inferior=200, fc_superior=20000</t>
  </si>
  <si>
    <t>f_aten_1=10, f_paso_1=100, f_paso_2=1000, f_aten_2=10000</t>
  </si>
  <si>
    <t>f_aten_1=1000, f_paso_1=2000, f_paso_2=2000, f_aten_2=10000</t>
  </si>
  <si>
    <t>f_aten_1=10, f_paso_1=100, f_paso_2=100, f_aten_2=1000</t>
  </si>
  <si>
    <t>f_aten_1=2000, f_paso_1=5000, f_paso_2=8000, f_aten_2=20000</t>
  </si>
  <si>
    <t>f_aten_1=100, f_paso_1=200, f_paso_2=500, f_aten_2=5000</t>
  </si>
  <si>
    <t>RECHAZABANDA</t>
  </si>
  <si>
    <t>f_paso_1=10, f_aten_1=100, f_aten_2=1000, f_paso_2=10000</t>
  </si>
  <si>
    <t>f_paso_1=1000, f_aten_1=2000, f_aten_2=2000, f_paso_2=10000</t>
  </si>
  <si>
    <t>f_paso_1=10, f_aten_1=100, f_aten_2=100, f_paso_2=1000</t>
  </si>
  <si>
    <t>f_paso_1=2000, f_aten_1=5000, f_aten_2=8000, f_paso_2=20000</t>
  </si>
  <si>
    <t>f_paso_1=100, f_aten_1=200, f_aten_2=500, f_paso_2=5000</t>
  </si>
  <si>
    <t>Algoritmo</t>
  </si>
  <si>
    <t>Corridas completadas</t>
  </si>
  <si>
    <t>Fitness promedio</t>
  </si>
  <si>
    <t>Tiempo promedio (s)</t>
  </si>
  <si>
    <t>Veces que fue el mejor fitness</t>
  </si>
  <si>
    <t>AG</t>
  </si>
  <si>
    <t>PSO</t>
  </si>
  <si>
    <t>RS</t>
  </si>
  <si>
    <t>BO</t>
  </si>
  <si>
    <t>Parametros del optimizador usados en cada algoritmo (mismos para las 40 corridas de ese algoritmo)</t>
  </si>
  <si>
    <t>tam_poblacion</t>
  </si>
  <si>
    <t>num_generaciones</t>
  </si>
  <si>
    <t>prob_cruce</t>
  </si>
  <si>
    <t>prob_mutacion</t>
  </si>
  <si>
    <t>elitismo</t>
  </si>
  <si>
    <t>torneo_k</t>
  </si>
  <si>
    <t>num_particulas</t>
  </si>
  <si>
    <t>num_iteraciones</t>
  </si>
  <si>
    <t>w</t>
  </si>
  <si>
    <t>c1</t>
  </si>
  <si>
    <t>c2</t>
  </si>
  <si>
    <t>temp_inicial</t>
  </si>
  <si>
    <t>temp_final</t>
  </si>
  <si>
    <t>factor_enfriamiento (alpha)</t>
  </si>
  <si>
    <t>iteraciones_por_temperatura</t>
  </si>
  <si>
    <t>(agregar/quitar filas segun el algoritmo real)</t>
  </si>
  <si>
    <t>n_iteraciones</t>
  </si>
  <si>
    <t>n_puntos_iniciales (random)</t>
  </si>
  <si>
    <t>funcion_adquisicion (EI / UCB / PI)</t>
  </si>
  <si>
    <t>kernel</t>
  </si>
  <si>
    <t>Notas:</t>
  </si>
  <si>
    <t>- Cada fila de 'Comparativa 4 algoritmos' representa UNA combinacion fija de entorno + barrido + frecuencias esperadas.</t>
  </si>
  <si>
    <t>- Esa misma combinacion se corre una vez por cada algoritmo (AG, PSO, RS, BO), usando siempre los parametros de esta hoja para ese algoritmo.</t>
  </si>
  <si>
    <t>- Las columnas 'mejor_fitness' / 'mejor_tiempo' y la tabla de RESUMEN al final de la hoja 1 se recalculan solas (son formulas) apenas llenes datos.</t>
  </si>
  <si>
    <t>Tiempo SA (s)</t>
  </si>
  <si>
    <t>Fitness SA</t>
  </si>
  <si>
    <t>mejor_fitness</t>
  </si>
  <si>
    <t>mejor_tiempo</t>
  </si>
  <si>
    <t>Comparativa de fitness y tiempo de ejecucion — AG / PSO / SA / BA (40 combinaciones)</t>
  </si>
  <si>
    <t>RESUMEN</t>
  </si>
  <si>
    <t>AG (Algoritmo Genetico)</t>
  </si>
  <si>
    <t>PSO (Enjambre de Particulas)</t>
  </si>
  <si>
    <t>SA (Recocido Simulado)</t>
  </si>
  <si>
    <t>BO (Optimizacion Bayesiana)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</si>
</sst>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i/>
      <sz val="11"/>
      <color rgb="FF80808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2F5597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808080"/>
      </patternFill>
    </fill>
    <fill>
      <patternFill patternType="solid">
        <fgColor rgb="FFEAF1FB"/>
      </patternFill>
    </fill>
    <fill>
      <patternFill patternType="solid">
        <fgColor rgb="FFF2F2F2"/>
      </patternFill>
    </fill>
    <fill>
      <patternFill patternType="solid">
        <fgColor rgb="FFFDF2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2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workbookViewId="0">
      <pane ySplit="3" topLeftCell="A4" activePane="bottomLeft" state="frozen"/>
      <selection pane="bottomLeft" activeCell="J50" sqref="J50"/>
    </sheetView>
  </sheetViews>
  <sheetFormatPr baseColWidth="10" defaultColWidth="8.7265625" defaultRowHeight="14.5" x14ac:dyDescent="0.35"/>
  <cols>
    <col min="1" max="1" width="16" customWidth="1"/>
    <col min="2" max="2" width="19.08984375" bestFit="1" customWidth="1"/>
    <col min="3" max="3" width="15.26953125" bestFit="1" customWidth="1"/>
    <col min="4" max="4" width="20" customWidth="1"/>
    <col min="5" max="5" width="18" customWidth="1"/>
    <col min="6" max="6" width="26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6" width="22" customWidth="1"/>
  </cols>
  <sheetData>
    <row r="1" spans="1:17" ht="17" x14ac:dyDescent="0.4">
      <c r="A1" s="19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3" spans="1:17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4" t="s">
        <v>93</v>
      </c>
      <c r="L3" s="4" t="s">
        <v>92</v>
      </c>
      <c r="M3" s="5" t="s">
        <v>10</v>
      </c>
      <c r="N3" s="5" t="s">
        <v>11</v>
      </c>
      <c r="O3" s="6" t="s">
        <v>94</v>
      </c>
      <c r="P3" s="6" t="s">
        <v>95</v>
      </c>
    </row>
    <row r="4" spans="1:17" x14ac:dyDescent="0.35">
      <c r="A4" s="7" t="s">
        <v>12</v>
      </c>
      <c r="B4" s="7" t="s">
        <v>13</v>
      </c>
      <c r="C4" s="7">
        <v>1</v>
      </c>
      <c r="D4" s="7" t="s">
        <v>14</v>
      </c>
      <c r="E4" s="7" t="s">
        <v>15</v>
      </c>
      <c r="F4" s="7" t="s">
        <v>16</v>
      </c>
      <c r="G4" s="8">
        <v>0.97123188547564177</v>
      </c>
      <c r="H4" s="9">
        <v>295.71899999999999</v>
      </c>
      <c r="I4" s="8">
        <v>0.93762353472304361</v>
      </c>
      <c r="J4" s="9">
        <v>328.37099999999998</v>
      </c>
      <c r="K4" s="10"/>
      <c r="L4" s="11"/>
      <c r="M4" s="10"/>
      <c r="N4" s="11"/>
      <c r="O4" s="12" t="str">
        <f>INDEX({"AG","PSO","RS","BO"},MATCH(MAX(G4,N(I4&lt;&gt;"")*I4+N(I4="")*-1,N(K4&lt;&gt;"")*K4+N(K4="")*-1,N(M4&lt;&gt;"")*M4+N(M4="")*-1),CHOOSE({1,2,3,4},G4,N(I4&lt;&gt;"")*I4+N(I4="")*-1,N(K4&lt;&gt;"")*K4+N(K4="")*-1,N(M4&lt;&gt;"")*M4+N(M4="")*-1),0))</f>
        <v>AG</v>
      </c>
      <c r="P4" s="12" t="str">
        <f>INDEX({"AG","PSO","RS","BO"},MATCH(MIN(H4,N(J4&lt;&gt;"")*J4+N(J4="")*999999,N(L4&lt;&gt;"")*L4+N(L4="")*999999,N(N4&lt;&gt;"")*N4+N(N4="")*999999),CHOOSE({1,2,3,4},H4,N(J4&lt;&gt;"")*J4+N(J4="")*999999,N(L4&lt;&gt;"")*L4+N(L4="")*999999,N(N4&lt;&gt;"")*N4+N(N4="")*999999),0))</f>
        <v>AG</v>
      </c>
    </row>
    <row r="5" spans="1:17" x14ac:dyDescent="0.35">
      <c r="A5" s="7" t="s">
        <v>12</v>
      </c>
      <c r="B5" s="7" t="s">
        <v>13</v>
      </c>
      <c r="C5" s="7">
        <v>2</v>
      </c>
      <c r="D5" s="7" t="s">
        <v>17</v>
      </c>
      <c r="E5" s="7" t="s">
        <v>18</v>
      </c>
      <c r="F5" s="7" t="s">
        <v>19</v>
      </c>
      <c r="G5" s="8">
        <v>0.85937522610483841</v>
      </c>
      <c r="H5" s="9">
        <v>301.35899999999998</v>
      </c>
      <c r="I5" s="8">
        <v>0.8100143482444977</v>
      </c>
      <c r="J5" s="9">
        <v>348.19099999999997</v>
      </c>
      <c r="K5" s="10"/>
      <c r="L5" s="11"/>
      <c r="M5" s="10"/>
      <c r="N5" s="11"/>
      <c r="O5" s="12" t="str">
        <f>INDEX({"AG","PSO","RS","BO"},MATCH(MAX(G5,N(I5&lt;&gt;"")*I5+N(I5="")*-1,N(K5&lt;&gt;"")*K5+N(K5="")*-1,N(M5&lt;&gt;"")*M5+N(M5="")*-1),CHOOSE({1,2,3,4},G5,N(I5&lt;&gt;"")*I5+N(I5="")*-1,N(K5&lt;&gt;"")*K5+N(K5="")*-1,N(M5&lt;&gt;"")*M5+N(M5="")*-1),0))</f>
        <v>AG</v>
      </c>
      <c r="P5" s="12" t="str">
        <f>INDEX({"AG","PSO","RS","BO"},MATCH(MIN(H5,N(J5&lt;&gt;"")*J5+N(J5="")*999999,N(L5&lt;&gt;"")*L5+N(L5="")*999999,N(N5&lt;&gt;"")*N5+N(N5="")*999999),CHOOSE({1,2,3,4},H5,N(J5&lt;&gt;"")*J5+N(J5="")*999999,N(L5&lt;&gt;"")*L5+N(L5="")*999999,N(N5&lt;&gt;"")*N5+N(N5="")*999999),0))</f>
        <v>AG</v>
      </c>
    </row>
    <row r="6" spans="1:17" x14ac:dyDescent="0.35">
      <c r="A6" s="7" t="s">
        <v>12</v>
      </c>
      <c r="B6" s="7" t="s">
        <v>13</v>
      </c>
      <c r="C6" s="7">
        <v>3</v>
      </c>
      <c r="D6" s="7" t="s">
        <v>20</v>
      </c>
      <c r="E6" s="7" t="s">
        <v>21</v>
      </c>
      <c r="F6" s="7" t="s">
        <v>22</v>
      </c>
      <c r="G6" s="8">
        <v>0.95921275257683802</v>
      </c>
      <c r="H6" s="9">
        <v>259.988</v>
      </c>
      <c r="I6" s="8">
        <v>0.95086389123010562</v>
      </c>
      <c r="J6" s="9">
        <v>333.048</v>
      </c>
      <c r="K6" s="10"/>
      <c r="L6" s="11"/>
      <c r="M6" s="10"/>
      <c r="N6" s="11"/>
      <c r="O6" s="12" t="str">
        <f>INDEX({"AG","PSO","RS","BO"},MATCH(MAX(G6,N(I6&lt;&gt;"")*I6+N(I6="")*-1,N(K6&lt;&gt;"")*K6+N(K6="")*-1,N(M6&lt;&gt;"")*M6+N(M6="")*-1),CHOOSE({1,2,3,4},G6,N(I6&lt;&gt;"")*I6+N(I6="")*-1,N(K6&lt;&gt;"")*K6+N(K6="")*-1,N(M6&lt;&gt;"")*M6+N(M6="")*-1),0))</f>
        <v>AG</v>
      </c>
      <c r="P6" s="12" t="str">
        <f>INDEX({"AG","PSO","RS","BO"},MATCH(MIN(H6,N(J6&lt;&gt;"")*J6+N(J6="")*999999,N(L6&lt;&gt;"")*L6+N(L6="")*999999,N(N6&lt;&gt;"")*N6+N(N6="")*999999),CHOOSE({1,2,3,4},H6,N(J6&lt;&gt;"")*J6+N(J6="")*999999,N(L6&lt;&gt;"")*L6+N(L6="")*999999,N(N6&lt;&gt;"")*N6+N(N6="")*999999),0))</f>
        <v>AG</v>
      </c>
    </row>
    <row r="7" spans="1:17" x14ac:dyDescent="0.35">
      <c r="A7" s="7" t="s">
        <v>12</v>
      </c>
      <c r="B7" s="7" t="s">
        <v>13</v>
      </c>
      <c r="C7" s="7">
        <v>4</v>
      </c>
      <c r="D7" s="7" t="s">
        <v>23</v>
      </c>
      <c r="E7" s="7" t="s">
        <v>24</v>
      </c>
      <c r="F7" s="7" t="s">
        <v>25</v>
      </c>
      <c r="G7" s="8">
        <v>0.76244231447195088</v>
      </c>
      <c r="H7" s="9">
        <v>253.93100000000001</v>
      </c>
      <c r="I7" s="8">
        <v>0.77904244109064102</v>
      </c>
      <c r="J7" s="9">
        <v>337.27100000000002</v>
      </c>
      <c r="K7" s="10"/>
      <c r="L7" s="11"/>
      <c r="M7" s="10"/>
      <c r="N7" s="11"/>
      <c r="O7" s="12" t="str">
        <f>INDEX({"AG","PSO","RS","BO"},MATCH(MAX(G7,N(I7&lt;&gt;"")*I7+N(I7="")*-1,N(K7&lt;&gt;"")*K7+N(K7="")*-1,N(M7&lt;&gt;"")*M7+N(M7="")*-1),CHOOSE({1,2,3,4},G7,N(I7&lt;&gt;"")*I7+N(I7="")*-1,N(K7&lt;&gt;"")*K7+N(K7="")*-1,N(M7&lt;&gt;"")*M7+N(M7="")*-1),0))</f>
        <v>PSO</v>
      </c>
      <c r="P7" s="12" t="str">
        <f>INDEX({"AG","PSO","RS","BO"},MATCH(MIN(H7,N(J7&lt;&gt;"")*J7+N(J7="")*999999,N(L7&lt;&gt;"")*L7+N(L7="")*999999,N(N7&lt;&gt;"")*N7+N(N7="")*999999),CHOOSE({1,2,3,4},H7,N(J7&lt;&gt;"")*J7+N(J7="")*999999,N(L7&lt;&gt;"")*L7+N(L7="")*999999,N(N7&lt;&gt;"")*N7+N(N7="")*999999),0))</f>
        <v>AG</v>
      </c>
    </row>
    <row r="8" spans="1:17" x14ac:dyDescent="0.35">
      <c r="A8" s="7" t="s">
        <v>12</v>
      </c>
      <c r="B8" s="7" t="s">
        <v>13</v>
      </c>
      <c r="C8" s="7">
        <v>5</v>
      </c>
      <c r="D8" s="7" t="s">
        <v>26</v>
      </c>
      <c r="E8" s="7" t="s">
        <v>27</v>
      </c>
      <c r="F8" s="7" t="s">
        <v>28</v>
      </c>
      <c r="G8" s="8">
        <v>0.80893428111883392</v>
      </c>
      <c r="H8" s="9">
        <v>273.31299999999999</v>
      </c>
      <c r="I8" s="8">
        <v>0.90004336408553942</v>
      </c>
      <c r="J8" s="9">
        <v>357.93299999999999</v>
      </c>
      <c r="K8" s="10"/>
      <c r="L8" s="11"/>
      <c r="M8" s="10"/>
      <c r="N8" s="11"/>
      <c r="O8" s="12" t="str">
        <f>INDEX({"AG","PSO","RS","BO"},MATCH(MAX(G8,N(I8&lt;&gt;"")*I8+N(I8="")*-1,N(K8&lt;&gt;"")*K8+N(K8="")*-1,N(M8&lt;&gt;"")*M8+N(M8="")*-1),CHOOSE({1,2,3,4},G8,N(I8&lt;&gt;"")*I8+N(I8="")*-1,N(K8&lt;&gt;"")*K8+N(K8="")*-1,N(M8&lt;&gt;"")*M8+N(M8="")*-1),0))</f>
        <v>PSO</v>
      </c>
      <c r="P8" s="12" t="str">
        <f>INDEX({"AG","PSO","RS","BO"},MATCH(MIN(H8,N(J8&lt;&gt;"")*J8+N(J8="")*999999,N(L8&lt;&gt;"")*L8+N(L8="")*999999,N(N8&lt;&gt;"")*N8+N(N8="")*999999),CHOOSE({1,2,3,4},H8,N(J8&lt;&gt;"")*J8+N(J8="")*999999,N(L8&lt;&gt;"")*L8+N(L8="")*999999,N(N8&lt;&gt;"")*N8+N(N8="")*999999),0))</f>
        <v>AG</v>
      </c>
    </row>
    <row r="9" spans="1:17" x14ac:dyDescent="0.35">
      <c r="A9" s="13" t="s">
        <v>12</v>
      </c>
      <c r="B9" s="13" t="s">
        <v>29</v>
      </c>
      <c r="C9" s="13">
        <v>1</v>
      </c>
      <c r="D9" s="13" t="s">
        <v>14</v>
      </c>
      <c r="E9" s="13" t="s">
        <v>15</v>
      </c>
      <c r="F9" s="13" t="s">
        <v>30</v>
      </c>
      <c r="G9" s="8">
        <v>0.96825778602946955</v>
      </c>
      <c r="H9" s="9">
        <v>260.863</v>
      </c>
      <c r="I9" s="8">
        <v>0.98887106032069561</v>
      </c>
      <c r="J9" s="9">
        <v>341.11399999999998</v>
      </c>
      <c r="K9" s="10"/>
      <c r="L9" s="11"/>
      <c r="M9" s="10"/>
      <c r="N9" s="11"/>
      <c r="O9" s="12" t="str">
        <f>INDEX({"AG","PSO","RS","BO"},MATCH(MAX(G9,N(I9&lt;&gt;"")*I9+N(I9="")*-1,N(K9&lt;&gt;"")*K9+N(K9="")*-1,N(M9&lt;&gt;"")*M9+N(M9="")*-1),CHOOSE({1,2,3,4},G9,N(I9&lt;&gt;"")*I9+N(I9="")*-1,N(K9&lt;&gt;"")*K9+N(K9="")*-1,N(M9&lt;&gt;"")*M9+N(M9="")*-1),0))</f>
        <v>PSO</v>
      </c>
      <c r="P9" s="12" t="str">
        <f>INDEX({"AG","PSO","RS","BO"},MATCH(MIN(H9,N(J9&lt;&gt;"")*J9+N(J9="")*999999,N(L9&lt;&gt;"")*L9+N(L9="")*999999,N(N9&lt;&gt;"")*N9+N(N9="")*999999),CHOOSE({1,2,3,4},H9,N(J9&lt;&gt;"")*J9+N(J9="")*999999,N(L9&lt;&gt;"")*L9+N(L9="")*999999,N(N9&lt;&gt;"")*N9+N(N9="")*999999),0))</f>
        <v>AG</v>
      </c>
    </row>
    <row r="10" spans="1:17" x14ac:dyDescent="0.35">
      <c r="A10" s="13" t="s">
        <v>12</v>
      </c>
      <c r="B10" s="13" t="s">
        <v>29</v>
      </c>
      <c r="C10" s="13">
        <v>2</v>
      </c>
      <c r="D10" s="13" t="s">
        <v>17</v>
      </c>
      <c r="E10" s="13" t="s">
        <v>18</v>
      </c>
      <c r="F10" s="13" t="s">
        <v>31</v>
      </c>
      <c r="G10" s="8">
        <v>0.88335065135413238</v>
      </c>
      <c r="H10" s="9">
        <v>279.71600000000001</v>
      </c>
      <c r="I10" s="8">
        <v>0.89029969351382632</v>
      </c>
      <c r="J10" s="9">
        <v>338.74099999999999</v>
      </c>
      <c r="K10" s="10"/>
      <c r="L10" s="11"/>
      <c r="M10" s="10"/>
      <c r="N10" s="11"/>
      <c r="O10" s="12" t="str">
        <f>INDEX({"AG","PSO","RS","BO"},MATCH(MAX(G10,N(I10&lt;&gt;"")*I10+N(I10="")*-1,N(K10&lt;&gt;"")*K10+N(K10="")*-1,N(M10&lt;&gt;"")*M10+N(M10="")*-1),CHOOSE({1,2,3,4},G10,N(I10&lt;&gt;"")*I10+N(I10="")*-1,N(K10&lt;&gt;"")*K10+N(K10="")*-1,N(M10&lt;&gt;"")*M10+N(M10="")*-1),0))</f>
        <v>PSO</v>
      </c>
      <c r="P10" s="12" t="str">
        <f>INDEX({"AG","PSO","RS","BO"},MATCH(MIN(H10,N(J10&lt;&gt;"")*J10+N(J10="")*999999,N(L10&lt;&gt;"")*L10+N(L10="")*999999,N(N10&lt;&gt;"")*N10+N(N10="")*999999),CHOOSE({1,2,3,4},H10,N(J10&lt;&gt;"")*J10+N(J10="")*999999,N(L10&lt;&gt;"")*L10+N(L10="")*999999,N(N10&lt;&gt;"")*N10+N(N10="")*999999),0))</f>
        <v>AG</v>
      </c>
    </row>
    <row r="11" spans="1:17" x14ac:dyDescent="0.35">
      <c r="A11" s="13" t="s">
        <v>12</v>
      </c>
      <c r="B11" s="13" t="s">
        <v>29</v>
      </c>
      <c r="C11" s="13">
        <v>3</v>
      </c>
      <c r="D11" s="13" t="s">
        <v>20</v>
      </c>
      <c r="E11" s="13" t="s">
        <v>21</v>
      </c>
      <c r="F11" s="13" t="s">
        <v>32</v>
      </c>
      <c r="G11" s="8">
        <v>0.60396015003369219</v>
      </c>
      <c r="H11" s="9">
        <v>270.16500000000002</v>
      </c>
      <c r="I11" s="8">
        <v>0.60396039464327733</v>
      </c>
      <c r="J11" s="9">
        <v>289.62400000000002</v>
      </c>
      <c r="K11" s="10"/>
      <c r="L11" s="11"/>
      <c r="M11" s="10"/>
      <c r="N11" s="11"/>
      <c r="O11" s="12" t="str">
        <f>INDEX({"AG","PSO","RS","BO"},MATCH(MAX(G11,N(I11&lt;&gt;"")*I11+N(I11="")*-1,N(K11&lt;&gt;"")*K11+N(K11="")*-1,N(M11&lt;&gt;"")*M11+N(M11="")*-1),CHOOSE({1,2,3,4},G11,N(I11&lt;&gt;"")*I11+N(I11="")*-1,N(K11&lt;&gt;"")*K11+N(K11="")*-1,N(M11&lt;&gt;"")*M11+N(M11="")*-1),0))</f>
        <v>PSO</v>
      </c>
      <c r="P11" s="12" t="str">
        <f>INDEX({"AG","PSO","RS","BO"},MATCH(MIN(H11,N(J11&lt;&gt;"")*J11+N(J11="")*999999,N(L11&lt;&gt;"")*L11+N(L11="")*999999,N(N11&lt;&gt;"")*N11+N(N11="")*999999),CHOOSE({1,2,3,4},H11,N(J11&lt;&gt;"")*J11+N(J11="")*999999,N(L11&lt;&gt;"")*L11+N(L11="")*999999,N(N11&lt;&gt;"")*N11+N(N11="")*999999),0))</f>
        <v>AG</v>
      </c>
    </row>
    <row r="12" spans="1:17" x14ac:dyDescent="0.35">
      <c r="A12" s="13" t="s">
        <v>12</v>
      </c>
      <c r="B12" s="13" t="s">
        <v>29</v>
      </c>
      <c r="C12" s="13">
        <v>4</v>
      </c>
      <c r="D12" s="13" t="s">
        <v>23</v>
      </c>
      <c r="E12" s="13" t="s">
        <v>24</v>
      </c>
      <c r="F12" s="13" t="s">
        <v>33</v>
      </c>
      <c r="G12" s="8">
        <v>0.7976719761714155</v>
      </c>
      <c r="H12" s="9">
        <v>261.17399999999998</v>
      </c>
      <c r="I12" s="8">
        <v>0.82008937581579211</v>
      </c>
      <c r="J12" s="9">
        <v>320.30500000000001</v>
      </c>
      <c r="K12" s="10"/>
      <c r="L12" s="11"/>
      <c r="M12" s="10"/>
      <c r="N12" s="11"/>
      <c r="O12" s="12" t="str">
        <f>INDEX({"AG","PSO","RS","BO"},MATCH(MAX(G12,N(I12&lt;&gt;"")*I12+N(I12="")*-1,N(K12&lt;&gt;"")*K12+N(K12="")*-1,N(M12&lt;&gt;"")*M12+N(M12="")*-1),CHOOSE({1,2,3,4},G12,N(I12&lt;&gt;"")*I12+N(I12="")*-1,N(K12&lt;&gt;"")*K12+N(K12="")*-1,N(M12&lt;&gt;"")*M12+N(M12="")*-1),0))</f>
        <v>PSO</v>
      </c>
      <c r="P12" s="12" t="str">
        <f>INDEX({"AG","PSO","RS","BO"},MATCH(MIN(H12,N(J12&lt;&gt;"")*J12+N(J12="")*999999,N(L12&lt;&gt;"")*L12+N(L12="")*999999,N(N12&lt;&gt;"")*N12+N(N12="")*999999),CHOOSE({1,2,3,4},H12,N(J12&lt;&gt;"")*J12+N(J12="")*999999,N(L12&lt;&gt;"")*L12+N(L12="")*999999,N(N12&lt;&gt;"")*N12+N(N12="")*999999),0))</f>
        <v>AG</v>
      </c>
    </row>
    <row r="13" spans="1:17" x14ac:dyDescent="0.35">
      <c r="A13" s="13" t="s">
        <v>12</v>
      </c>
      <c r="B13" s="13" t="s">
        <v>29</v>
      </c>
      <c r="C13" s="13">
        <v>5</v>
      </c>
      <c r="D13" s="13" t="s">
        <v>26</v>
      </c>
      <c r="E13" s="13" t="s">
        <v>27</v>
      </c>
      <c r="F13" s="13" t="s">
        <v>34</v>
      </c>
      <c r="G13" s="8">
        <v>0.89126616442692141</v>
      </c>
      <c r="H13" s="9">
        <v>275.517</v>
      </c>
      <c r="I13" s="8">
        <v>0.91156822843588925</v>
      </c>
      <c r="J13" s="9">
        <v>358.49299999999999</v>
      </c>
      <c r="K13" s="10"/>
      <c r="L13" s="11"/>
      <c r="M13" s="10"/>
      <c r="N13" s="11"/>
      <c r="O13" s="12" t="str">
        <f>INDEX({"AG","PSO","RS","BO"},MATCH(MAX(G13,N(I13&lt;&gt;"")*I13+N(I13="")*-1,N(K13&lt;&gt;"")*K13+N(K13="")*-1,N(M13&lt;&gt;"")*M13+N(M13="")*-1),CHOOSE({1,2,3,4},G13,N(I13&lt;&gt;"")*I13+N(I13="")*-1,N(K13&lt;&gt;"")*K13+N(K13="")*-1,N(M13&lt;&gt;"")*M13+N(M13="")*-1),0))</f>
        <v>PSO</v>
      </c>
      <c r="P13" s="12" t="str">
        <f>INDEX({"AG","PSO","RS","BO"},MATCH(MIN(H13,N(J13&lt;&gt;"")*J13+N(J13="")*999999,N(L13&lt;&gt;"")*L13+N(L13="")*999999,N(N13&lt;&gt;"")*N13+N(N13="")*999999),CHOOSE({1,2,3,4},H13,N(J13&lt;&gt;"")*J13+N(J13="")*999999,N(L13&lt;&gt;"")*L13+N(L13="")*999999,N(N13&lt;&gt;"")*N13+N(N13="")*999999),0))</f>
        <v>AG</v>
      </c>
    </row>
    <row r="14" spans="1:17" x14ac:dyDescent="0.35">
      <c r="A14" s="7" t="s">
        <v>35</v>
      </c>
      <c r="B14" s="7" t="s">
        <v>13</v>
      </c>
      <c r="C14" s="7">
        <v>1</v>
      </c>
      <c r="D14" s="7" t="s">
        <v>14</v>
      </c>
      <c r="E14" s="7" t="s">
        <v>15</v>
      </c>
      <c r="F14" s="7" t="s">
        <v>16</v>
      </c>
      <c r="G14" s="8">
        <v>0.93538688425534078</v>
      </c>
      <c r="H14" s="9">
        <v>260.44200000000001</v>
      </c>
      <c r="I14" s="8">
        <v>0.97038125847319479</v>
      </c>
      <c r="J14" s="9">
        <v>341.86700000000002</v>
      </c>
      <c r="K14" s="10"/>
      <c r="L14" s="11"/>
      <c r="M14" s="10"/>
      <c r="N14" s="11"/>
      <c r="O14" s="12" t="str">
        <f>INDEX({"AG","PSO","RS","BO"},MATCH(MAX(G14,N(I14&lt;&gt;"")*I14+N(I14="")*-1,N(K14&lt;&gt;"")*K14+N(K14="")*-1,N(M14&lt;&gt;"")*M14+N(M14="")*-1),CHOOSE({1,2,3,4},G14,N(I14&lt;&gt;"")*I14+N(I14="")*-1,N(K14&lt;&gt;"")*K14+N(K14="")*-1,N(M14&lt;&gt;"")*M14+N(M14="")*-1),0))</f>
        <v>PSO</v>
      </c>
      <c r="P14" s="12" t="str">
        <f>INDEX({"AG","PSO","RS","BO"},MATCH(MIN(H14,N(J14&lt;&gt;"")*J14+N(J14="")*999999,N(L14&lt;&gt;"")*L14+N(L14="")*999999,N(N14&lt;&gt;"")*N14+N(N14="")*999999),CHOOSE({1,2,3,4},H14,N(J14&lt;&gt;"")*J14+N(J14="")*999999,N(L14&lt;&gt;"")*L14+N(L14="")*999999,N(N14&lt;&gt;"")*N14+N(N14="")*999999),0))</f>
        <v>AG</v>
      </c>
    </row>
    <row r="15" spans="1:17" x14ac:dyDescent="0.35">
      <c r="A15" s="7" t="s">
        <v>35</v>
      </c>
      <c r="B15" s="7" t="s">
        <v>13</v>
      </c>
      <c r="C15" s="7">
        <v>2</v>
      </c>
      <c r="D15" s="7" t="s">
        <v>17</v>
      </c>
      <c r="E15" s="7" t="s">
        <v>18</v>
      </c>
      <c r="F15" s="7" t="s">
        <v>19</v>
      </c>
      <c r="G15" s="8">
        <v>0.75025645738030566</v>
      </c>
      <c r="H15" s="9">
        <v>262.36099999999999</v>
      </c>
      <c r="I15" s="8">
        <v>0.95361012839046322</v>
      </c>
      <c r="J15" s="9">
        <v>328.923</v>
      </c>
      <c r="K15" s="10"/>
      <c r="L15" s="11"/>
      <c r="M15" s="10"/>
      <c r="N15" s="11"/>
      <c r="O15" s="12" t="str">
        <f>INDEX({"AG","PSO","RS","BO"},MATCH(MAX(G15,N(I15&lt;&gt;"")*I15+N(I15="")*-1,N(K15&lt;&gt;"")*K15+N(K15="")*-1,N(M15&lt;&gt;"")*M15+N(M15="")*-1),CHOOSE({1,2,3,4},G15,N(I15&lt;&gt;"")*I15+N(I15="")*-1,N(K15&lt;&gt;"")*K15+N(K15="")*-1,N(M15&lt;&gt;"")*M15+N(M15="")*-1),0))</f>
        <v>PSO</v>
      </c>
      <c r="P15" s="12" t="str">
        <f>INDEX({"AG","PSO","RS","BO"},MATCH(MIN(H15,N(J15&lt;&gt;"")*J15+N(J15="")*999999,N(L15&lt;&gt;"")*L15+N(L15="")*999999,N(N15&lt;&gt;"")*N15+N(N15="")*999999),CHOOSE({1,2,3,4},H15,N(J15&lt;&gt;"")*J15+N(J15="")*999999,N(L15&lt;&gt;"")*L15+N(L15="")*999999,N(N15&lt;&gt;"")*N15+N(N15="")*999999),0))</f>
        <v>AG</v>
      </c>
    </row>
    <row r="16" spans="1:17" x14ac:dyDescent="0.35">
      <c r="A16" s="7" t="s">
        <v>35</v>
      </c>
      <c r="B16" s="7" t="s">
        <v>13</v>
      </c>
      <c r="C16" s="7">
        <v>3</v>
      </c>
      <c r="D16" s="7" t="s">
        <v>20</v>
      </c>
      <c r="E16" s="7" t="s">
        <v>21</v>
      </c>
      <c r="F16" s="7" t="s">
        <v>22</v>
      </c>
      <c r="G16" s="8">
        <v>0.90286629672778695</v>
      </c>
      <c r="H16" s="9">
        <v>253.255</v>
      </c>
      <c r="I16" s="8">
        <v>0.94159237468656465</v>
      </c>
      <c r="J16" s="9">
        <v>341.28199999999998</v>
      </c>
      <c r="K16" s="10"/>
      <c r="L16" s="11"/>
      <c r="M16" s="10"/>
      <c r="N16" s="11"/>
      <c r="O16" s="12" t="str">
        <f>INDEX({"AG","PSO","RS","BO"},MATCH(MAX(G16,N(I16&lt;&gt;"")*I16+N(I16="")*-1,N(K16&lt;&gt;"")*K16+N(K16="")*-1,N(M16&lt;&gt;"")*M16+N(M16="")*-1),CHOOSE({1,2,3,4},G16,N(I16&lt;&gt;"")*I16+N(I16="")*-1,N(K16&lt;&gt;"")*K16+N(K16="")*-1,N(M16&lt;&gt;"")*M16+N(M16="")*-1),0))</f>
        <v>PSO</v>
      </c>
      <c r="P16" s="12" t="str">
        <f>INDEX({"AG","PSO","RS","BO"},MATCH(MIN(H16,N(J16&lt;&gt;"")*J16+N(J16="")*999999,N(L16&lt;&gt;"")*L16+N(L16="")*999999,N(N16&lt;&gt;"")*N16+N(N16="")*999999),CHOOSE({1,2,3,4},H16,N(J16&lt;&gt;"")*J16+N(J16="")*999999,N(L16&lt;&gt;"")*L16+N(L16="")*999999,N(N16&lt;&gt;"")*N16+N(N16="")*999999),0))</f>
        <v>AG</v>
      </c>
    </row>
    <row r="17" spans="1:16" x14ac:dyDescent="0.35">
      <c r="A17" s="7" t="s">
        <v>35</v>
      </c>
      <c r="B17" s="7" t="s">
        <v>13</v>
      </c>
      <c r="C17" s="7">
        <v>4</v>
      </c>
      <c r="D17" s="7" t="s">
        <v>23</v>
      </c>
      <c r="E17" s="7" t="s">
        <v>24</v>
      </c>
      <c r="F17" s="7" t="s">
        <v>25</v>
      </c>
      <c r="G17" s="8">
        <v>0.75026849211937074</v>
      </c>
      <c r="H17" s="9">
        <v>252.6</v>
      </c>
      <c r="I17" s="8">
        <v>0.67535377942446972</v>
      </c>
      <c r="J17" s="9">
        <v>338.60599999999999</v>
      </c>
      <c r="K17" s="10"/>
      <c r="L17" s="11"/>
      <c r="M17" s="10"/>
      <c r="N17" s="11"/>
      <c r="O17" s="12" t="str">
        <f>INDEX({"AG","PSO","RS","BO"},MATCH(MAX(G17,N(I17&lt;&gt;"")*I17+N(I17="")*-1,N(K17&lt;&gt;"")*K17+N(K17="")*-1,N(M17&lt;&gt;"")*M17+N(M17="")*-1),CHOOSE({1,2,3,4},G17,N(I17&lt;&gt;"")*I17+N(I17="")*-1,N(K17&lt;&gt;"")*K17+N(K17="")*-1,N(M17&lt;&gt;"")*M17+N(M17="")*-1),0))</f>
        <v>AG</v>
      </c>
      <c r="P17" s="12" t="str">
        <f>INDEX({"AG","PSO","RS","BO"},MATCH(MIN(H17,N(J17&lt;&gt;"")*J17+N(J17="")*999999,N(L17&lt;&gt;"")*L17+N(L17="")*999999,N(N17&lt;&gt;"")*N17+N(N17="")*999999),CHOOSE({1,2,3,4},H17,N(J17&lt;&gt;"")*J17+N(J17="")*999999,N(L17&lt;&gt;"")*L17+N(L17="")*999999,N(N17&lt;&gt;"")*N17+N(N17="")*999999),0))</f>
        <v>AG</v>
      </c>
    </row>
    <row r="18" spans="1:16" x14ac:dyDescent="0.35">
      <c r="A18" s="7" t="s">
        <v>35</v>
      </c>
      <c r="B18" s="7" t="s">
        <v>13</v>
      </c>
      <c r="C18" s="7">
        <v>5</v>
      </c>
      <c r="D18" s="7" t="s">
        <v>26</v>
      </c>
      <c r="E18" s="7" t="s">
        <v>27</v>
      </c>
      <c r="F18" s="7" t="s">
        <v>28</v>
      </c>
      <c r="G18" s="8">
        <v>0.99655984603695835</v>
      </c>
      <c r="H18" s="9">
        <v>271.83800000000002</v>
      </c>
      <c r="I18" s="8">
        <v>0.99165077259799583</v>
      </c>
      <c r="J18" s="9">
        <v>355.81900000000002</v>
      </c>
      <c r="K18" s="10"/>
      <c r="L18" s="11"/>
      <c r="M18" s="10"/>
      <c r="N18" s="11"/>
      <c r="O18" s="12" t="str">
        <f>INDEX({"AG","PSO","RS","BO"},MATCH(MAX(G18,N(I18&lt;&gt;"")*I18+N(I18="")*-1,N(K18&lt;&gt;"")*K18+N(K18="")*-1,N(M18&lt;&gt;"")*M18+N(M18="")*-1),CHOOSE({1,2,3,4},G18,N(I18&lt;&gt;"")*I18+N(I18="")*-1,N(K18&lt;&gt;"")*K18+N(K18="")*-1,N(M18&lt;&gt;"")*M18+N(M18="")*-1),0))</f>
        <v>AG</v>
      </c>
      <c r="P18" s="12" t="str">
        <f>INDEX({"AG","PSO","RS","BO"},MATCH(MIN(H18,N(J18&lt;&gt;"")*J18+N(J18="")*999999,N(L18&lt;&gt;"")*L18+N(L18="")*999999,N(N18&lt;&gt;"")*N18+N(N18="")*999999),CHOOSE({1,2,3,4},H18,N(J18&lt;&gt;"")*J18+N(J18="")*999999,N(L18&lt;&gt;"")*L18+N(L18="")*999999,N(N18&lt;&gt;"")*N18+N(N18="")*999999),0))</f>
        <v>AG</v>
      </c>
    </row>
    <row r="19" spans="1:16" x14ac:dyDescent="0.35">
      <c r="A19" s="13" t="s">
        <v>35</v>
      </c>
      <c r="B19" s="13" t="s">
        <v>29</v>
      </c>
      <c r="C19" s="13">
        <v>1</v>
      </c>
      <c r="D19" s="13" t="s">
        <v>14</v>
      </c>
      <c r="E19" s="13" t="s">
        <v>15</v>
      </c>
      <c r="F19" s="13" t="s">
        <v>36</v>
      </c>
      <c r="G19" s="8">
        <v>0.94976865832616719</v>
      </c>
      <c r="H19" s="9">
        <v>258.97800000000001</v>
      </c>
      <c r="I19" s="8">
        <v>0.94816197036622041</v>
      </c>
      <c r="J19" s="9">
        <v>327.125</v>
      </c>
      <c r="K19" s="10"/>
      <c r="L19" s="11"/>
      <c r="M19" s="10"/>
      <c r="N19" s="11"/>
      <c r="O19" s="12" t="str">
        <f>INDEX({"AG","PSO","RS","BO"},MATCH(MAX(G19,N(I19&lt;&gt;"")*I19+N(I19="")*-1,N(K19&lt;&gt;"")*K19+N(K19="")*-1,N(M19&lt;&gt;"")*M19+N(M19="")*-1),CHOOSE({1,2,3,4},G19,N(I19&lt;&gt;"")*I19+N(I19="")*-1,N(K19&lt;&gt;"")*K19+N(K19="")*-1,N(M19&lt;&gt;"")*M19+N(M19="")*-1),0))</f>
        <v>AG</v>
      </c>
      <c r="P19" s="12" t="str">
        <f>INDEX({"AG","PSO","RS","BO"},MATCH(MIN(H19,N(J19&lt;&gt;"")*J19+N(J19="")*999999,N(L19&lt;&gt;"")*L19+N(L19="")*999999,N(N19&lt;&gt;"")*N19+N(N19="")*999999),CHOOSE({1,2,3,4},H19,N(J19&lt;&gt;"")*J19+N(J19="")*999999,N(L19&lt;&gt;"")*L19+N(L19="")*999999,N(N19&lt;&gt;"")*N19+N(N19="")*999999),0))</f>
        <v>AG</v>
      </c>
    </row>
    <row r="20" spans="1:16" x14ac:dyDescent="0.35">
      <c r="A20" s="13" t="s">
        <v>35</v>
      </c>
      <c r="B20" s="13" t="s">
        <v>29</v>
      </c>
      <c r="C20" s="13">
        <v>2</v>
      </c>
      <c r="D20" s="13" t="s">
        <v>17</v>
      </c>
      <c r="E20" s="13" t="s">
        <v>18</v>
      </c>
      <c r="F20" s="13" t="s">
        <v>37</v>
      </c>
      <c r="G20" s="8">
        <v>0.95229421245847878</v>
      </c>
      <c r="H20" s="9">
        <v>256.09300000000002</v>
      </c>
      <c r="I20" s="8">
        <v>0.98434295668170324</v>
      </c>
      <c r="J20" s="9">
        <v>344.35700000000003</v>
      </c>
      <c r="K20" s="10"/>
      <c r="L20" s="11"/>
      <c r="M20" s="10"/>
      <c r="N20" s="11"/>
      <c r="O20" s="12" t="str">
        <f>INDEX({"AG","PSO","RS","BO"},MATCH(MAX(G20,N(I20&lt;&gt;"")*I20+N(I20="")*-1,N(K20&lt;&gt;"")*K20+N(K20="")*-1,N(M20&lt;&gt;"")*M20+N(M20="")*-1),CHOOSE({1,2,3,4},G20,N(I20&lt;&gt;"")*I20+N(I20="")*-1,N(K20&lt;&gt;"")*K20+N(K20="")*-1,N(M20&lt;&gt;"")*M20+N(M20="")*-1),0))</f>
        <v>PSO</v>
      </c>
      <c r="P20" s="12" t="str">
        <f>INDEX({"AG","PSO","RS","BO"},MATCH(MIN(H20,N(J20&lt;&gt;"")*J20+N(J20="")*999999,N(L20&lt;&gt;"")*L20+N(L20="")*999999,N(N20&lt;&gt;"")*N20+N(N20="")*999999),CHOOSE({1,2,3,4},H20,N(J20&lt;&gt;"")*J20+N(J20="")*999999,N(L20&lt;&gt;"")*L20+N(L20="")*999999,N(N20&lt;&gt;"")*N20+N(N20="")*999999),0))</f>
        <v>AG</v>
      </c>
    </row>
    <row r="21" spans="1:16" x14ac:dyDescent="0.35">
      <c r="A21" s="13" t="s">
        <v>35</v>
      </c>
      <c r="B21" s="13" t="s">
        <v>29</v>
      </c>
      <c r="C21" s="13">
        <v>3</v>
      </c>
      <c r="D21" s="13" t="s">
        <v>20</v>
      </c>
      <c r="E21" s="13" t="s">
        <v>21</v>
      </c>
      <c r="F21" s="13" t="s">
        <v>38</v>
      </c>
      <c r="G21" s="8">
        <v>0.93800311996452923</v>
      </c>
      <c r="H21" s="9">
        <v>247.84100000000001</v>
      </c>
      <c r="I21" s="8">
        <v>0.94881612491731404</v>
      </c>
      <c r="J21" s="9">
        <v>329.53399999999999</v>
      </c>
      <c r="K21" s="10"/>
      <c r="L21" s="11"/>
      <c r="M21" s="10"/>
      <c r="N21" s="11"/>
      <c r="O21" s="12" t="str">
        <f>INDEX({"AG","PSO","RS","BO"},MATCH(MAX(G21,N(I21&lt;&gt;"")*I21+N(I21="")*-1,N(K21&lt;&gt;"")*K21+N(K21="")*-1,N(M21&lt;&gt;"")*M21+N(M21="")*-1),CHOOSE({1,2,3,4},G21,N(I21&lt;&gt;"")*I21+N(I21="")*-1,N(K21&lt;&gt;"")*K21+N(K21="")*-1,N(M21&lt;&gt;"")*M21+N(M21="")*-1),0))</f>
        <v>PSO</v>
      </c>
      <c r="P21" s="12" t="str">
        <f>INDEX({"AG","PSO","RS","BO"},MATCH(MIN(H21,N(J21&lt;&gt;"")*J21+N(J21="")*999999,N(L21&lt;&gt;"")*L21+N(L21="")*999999,N(N21&lt;&gt;"")*N21+N(N21="")*999999),CHOOSE({1,2,3,4},H21,N(J21&lt;&gt;"")*J21+N(J21="")*999999,N(L21&lt;&gt;"")*L21+N(L21="")*999999,N(N21&lt;&gt;"")*N21+N(N21="")*999999),0))</f>
        <v>AG</v>
      </c>
    </row>
    <row r="22" spans="1:16" x14ac:dyDescent="0.35">
      <c r="A22" s="13" t="s">
        <v>35</v>
      </c>
      <c r="B22" s="13" t="s">
        <v>29</v>
      </c>
      <c r="C22" s="13">
        <v>4</v>
      </c>
      <c r="D22" s="13" t="s">
        <v>23</v>
      </c>
      <c r="E22" s="13" t="s">
        <v>24</v>
      </c>
      <c r="F22" s="13" t="s">
        <v>39</v>
      </c>
      <c r="G22" s="8">
        <v>0.95457509868191859</v>
      </c>
      <c r="H22" s="9">
        <v>261.54599999999999</v>
      </c>
      <c r="I22" s="8">
        <v>0.99515083920655556</v>
      </c>
      <c r="J22" s="9">
        <v>316.38200000000001</v>
      </c>
      <c r="K22" s="10"/>
      <c r="L22" s="11"/>
      <c r="M22" s="10"/>
      <c r="N22" s="11"/>
      <c r="O22" s="12" t="str">
        <f>INDEX({"AG","PSO","RS","BO"},MATCH(MAX(G22,N(I22&lt;&gt;"")*I22+N(I22="")*-1,N(K22&lt;&gt;"")*K22+N(K22="")*-1,N(M22&lt;&gt;"")*M22+N(M22="")*-1),CHOOSE({1,2,3,4},G22,N(I22&lt;&gt;"")*I22+N(I22="")*-1,N(K22&lt;&gt;"")*K22+N(K22="")*-1,N(M22&lt;&gt;"")*M22+N(M22="")*-1),0))</f>
        <v>PSO</v>
      </c>
      <c r="P22" s="12" t="str">
        <f>INDEX({"AG","PSO","RS","BO"},MATCH(MIN(H22,N(J22&lt;&gt;"")*J22+N(J22="")*999999,N(L22&lt;&gt;"")*L22+N(L22="")*999999,N(N22&lt;&gt;"")*N22+N(N22="")*999999),CHOOSE({1,2,3,4},H22,N(J22&lt;&gt;"")*J22+N(J22="")*999999,N(L22&lt;&gt;"")*L22+N(L22="")*999999,N(N22&lt;&gt;"")*N22+N(N22="")*999999),0))</f>
        <v>AG</v>
      </c>
    </row>
    <row r="23" spans="1:16" x14ac:dyDescent="0.35">
      <c r="A23" s="13" t="s">
        <v>35</v>
      </c>
      <c r="B23" s="13" t="s">
        <v>29</v>
      </c>
      <c r="C23" s="13">
        <v>5</v>
      </c>
      <c r="D23" s="13" t="s">
        <v>26</v>
      </c>
      <c r="E23" s="13" t="s">
        <v>27</v>
      </c>
      <c r="F23" s="13" t="s">
        <v>40</v>
      </c>
      <c r="G23" s="8">
        <v>0.9442887179296896</v>
      </c>
      <c r="H23" s="9">
        <v>278.38</v>
      </c>
      <c r="I23" s="8">
        <v>0.96027562534870003</v>
      </c>
      <c r="J23" s="9">
        <v>346.02100000000002</v>
      </c>
      <c r="K23" s="10"/>
      <c r="L23" s="11"/>
      <c r="M23" s="10"/>
      <c r="N23" s="11"/>
      <c r="O23" s="12" t="str">
        <f>INDEX({"AG","PSO","RS","BO"},MATCH(MAX(G23,N(I23&lt;&gt;"")*I23+N(I23="")*-1,N(K23&lt;&gt;"")*K23+N(K23="")*-1,N(M23&lt;&gt;"")*M23+N(M23="")*-1),CHOOSE({1,2,3,4},G23,N(I23&lt;&gt;"")*I23+N(I23="")*-1,N(K23&lt;&gt;"")*K23+N(K23="")*-1,N(M23&lt;&gt;"")*M23+N(M23="")*-1),0))</f>
        <v>PSO</v>
      </c>
      <c r="P23" s="12" t="str">
        <f>INDEX({"AG","PSO","RS","BO"},MATCH(MIN(H23,N(J23&lt;&gt;"")*J23+N(J23="")*999999,N(L23&lt;&gt;"")*L23+N(L23="")*999999,N(N23&lt;&gt;"")*N23+N(N23="")*999999),CHOOSE({1,2,3,4},H23,N(J23&lt;&gt;"")*J23+N(J23="")*999999,N(L23&lt;&gt;"")*L23+N(L23="")*999999,N(N23&lt;&gt;"")*N23+N(N23="")*999999),0))</f>
        <v>AG</v>
      </c>
    </row>
    <row r="24" spans="1:16" x14ac:dyDescent="0.35">
      <c r="A24" s="7" t="s">
        <v>41</v>
      </c>
      <c r="B24" s="7" t="s">
        <v>13</v>
      </c>
      <c r="C24" s="7">
        <v>1</v>
      </c>
      <c r="D24" s="7" t="s">
        <v>14</v>
      </c>
      <c r="E24" s="7" t="s">
        <v>15</v>
      </c>
      <c r="F24" s="7" t="s">
        <v>42</v>
      </c>
      <c r="G24" s="8">
        <v>0.97424097570511481</v>
      </c>
      <c r="H24" s="9">
        <v>264.65800000000002</v>
      </c>
      <c r="I24" s="8">
        <v>0.86935073856181622</v>
      </c>
      <c r="J24" s="9">
        <v>307.44499999999999</v>
      </c>
      <c r="K24" s="10"/>
      <c r="L24" s="11"/>
      <c r="M24" s="10"/>
      <c r="N24" s="11"/>
      <c r="O24" s="12" t="str">
        <f>INDEX({"AG","PSO","RS","BO"},MATCH(MAX(G24,N(I24&lt;&gt;"")*I24+N(I24="")*-1,N(K24&lt;&gt;"")*K24+N(K24="")*-1,N(M24&lt;&gt;"")*M24+N(M24="")*-1),CHOOSE({1,2,3,4},G24,N(I24&lt;&gt;"")*I24+N(I24="")*-1,N(K24&lt;&gt;"")*K24+N(K24="")*-1,N(M24&lt;&gt;"")*M24+N(M24="")*-1),0))</f>
        <v>AG</v>
      </c>
      <c r="P24" s="12" t="str">
        <f>INDEX({"AG","PSO","RS","BO"},MATCH(MIN(H24,N(J24&lt;&gt;"")*J24+N(J24="")*999999,N(L24&lt;&gt;"")*L24+N(L24="")*999999,N(N24&lt;&gt;"")*N24+N(N24="")*999999),CHOOSE({1,2,3,4},H24,N(J24&lt;&gt;"")*J24+N(J24="")*999999,N(L24&lt;&gt;"")*L24+N(L24="")*999999,N(N24&lt;&gt;"")*N24+N(N24="")*999999),0))</f>
        <v>AG</v>
      </c>
    </row>
    <row r="25" spans="1:16" x14ac:dyDescent="0.35">
      <c r="A25" s="7" t="s">
        <v>41</v>
      </c>
      <c r="B25" s="7" t="s">
        <v>13</v>
      </c>
      <c r="C25" s="7">
        <v>2</v>
      </c>
      <c r="D25" s="7" t="s">
        <v>17</v>
      </c>
      <c r="E25" s="7" t="s">
        <v>18</v>
      </c>
      <c r="F25" s="7" t="s">
        <v>43</v>
      </c>
      <c r="G25" s="8">
        <v>0.92538552021212517</v>
      </c>
      <c r="H25" s="9">
        <v>262.78300000000002</v>
      </c>
      <c r="I25" s="8">
        <v>0.97886920641914443</v>
      </c>
      <c r="J25" s="9">
        <v>306.71499999999997</v>
      </c>
      <c r="K25" s="10"/>
      <c r="L25" s="11"/>
      <c r="M25" s="10"/>
      <c r="N25" s="11"/>
      <c r="O25" s="12" t="str">
        <f>INDEX({"AG","PSO","RS","BO"},MATCH(MAX(G25,N(I25&lt;&gt;"")*I25+N(I25="")*-1,N(K25&lt;&gt;"")*K25+N(K25="")*-1,N(M25&lt;&gt;"")*M25+N(M25="")*-1),CHOOSE({1,2,3,4},G25,N(I25&lt;&gt;"")*I25+N(I25="")*-1,N(K25&lt;&gt;"")*K25+N(K25="")*-1,N(M25&lt;&gt;"")*M25+N(M25="")*-1),0))</f>
        <v>PSO</v>
      </c>
      <c r="P25" s="12" t="str">
        <f>INDEX({"AG","PSO","RS","BO"},MATCH(MIN(H25,N(J25&lt;&gt;"")*J25+N(J25="")*999999,N(L25&lt;&gt;"")*L25+N(L25="")*999999,N(N25&lt;&gt;"")*N25+N(N25="")*999999),CHOOSE({1,2,3,4},H25,N(J25&lt;&gt;"")*J25+N(J25="")*999999,N(L25&lt;&gt;"")*L25+N(L25="")*999999,N(N25&lt;&gt;"")*N25+N(N25="")*999999),0))</f>
        <v>AG</v>
      </c>
    </row>
    <row r="26" spans="1:16" x14ac:dyDescent="0.35">
      <c r="A26" s="7" t="s">
        <v>41</v>
      </c>
      <c r="B26" s="7" t="s">
        <v>13</v>
      </c>
      <c r="C26" s="7">
        <v>3</v>
      </c>
      <c r="D26" s="7" t="s">
        <v>20</v>
      </c>
      <c r="E26" s="7" t="s">
        <v>21</v>
      </c>
      <c r="F26" s="7" t="s">
        <v>44</v>
      </c>
      <c r="G26" s="8">
        <v>0.93988771672772364</v>
      </c>
      <c r="H26" s="9">
        <v>254.63</v>
      </c>
      <c r="I26" s="8">
        <v>0.92316495376568741</v>
      </c>
      <c r="J26" s="9">
        <v>295.83800000000002</v>
      </c>
      <c r="K26" s="10"/>
      <c r="L26" s="11"/>
      <c r="M26" s="10"/>
      <c r="N26" s="11"/>
      <c r="O26" s="12" t="str">
        <f>INDEX({"AG","PSO","RS","BO"},MATCH(MAX(G26,N(I26&lt;&gt;"")*I26+N(I26="")*-1,N(K26&lt;&gt;"")*K26+N(K26="")*-1,N(M26&lt;&gt;"")*M26+N(M26="")*-1),CHOOSE({1,2,3,4},G26,N(I26&lt;&gt;"")*I26+N(I26="")*-1,N(K26&lt;&gt;"")*K26+N(K26="")*-1,N(M26&lt;&gt;"")*M26+N(M26="")*-1),0))</f>
        <v>AG</v>
      </c>
      <c r="P26" s="12" t="str">
        <f>INDEX({"AG","PSO","RS","BO"},MATCH(MIN(H26,N(J26&lt;&gt;"")*J26+N(J26="")*999999,N(L26&lt;&gt;"")*L26+N(L26="")*999999,N(N26&lt;&gt;"")*N26+N(N26="")*999999),CHOOSE({1,2,3,4},H26,N(J26&lt;&gt;"")*J26+N(J26="")*999999,N(L26&lt;&gt;"")*L26+N(L26="")*999999,N(N26&lt;&gt;"")*N26+N(N26="")*999999),0))</f>
        <v>AG</v>
      </c>
    </row>
    <row r="27" spans="1:16" x14ac:dyDescent="0.35">
      <c r="A27" s="7" t="s">
        <v>41</v>
      </c>
      <c r="B27" s="7" t="s">
        <v>13</v>
      </c>
      <c r="C27" s="7">
        <v>4</v>
      </c>
      <c r="D27" s="7" t="s">
        <v>23</v>
      </c>
      <c r="E27" s="7" t="s">
        <v>24</v>
      </c>
      <c r="F27" s="7" t="s">
        <v>45</v>
      </c>
      <c r="G27" s="8">
        <v>0.89317851363819445</v>
      </c>
      <c r="H27" s="9">
        <v>252.387</v>
      </c>
      <c r="I27" s="8">
        <v>0.94568798124065157</v>
      </c>
      <c r="J27" s="9">
        <v>306.33699999999999</v>
      </c>
      <c r="K27" s="10"/>
      <c r="L27" s="11"/>
      <c r="M27" s="10"/>
      <c r="N27" s="11"/>
      <c r="O27" s="12" t="str">
        <f>INDEX({"AG","PSO","RS","BO"},MATCH(MAX(G27,N(I27&lt;&gt;"")*I27+N(I27="")*-1,N(K27&lt;&gt;"")*K27+N(K27="")*-1,N(M27&lt;&gt;"")*M27+N(M27="")*-1),CHOOSE({1,2,3,4},G27,N(I27&lt;&gt;"")*I27+N(I27="")*-1,N(K27&lt;&gt;"")*K27+N(K27="")*-1,N(M27&lt;&gt;"")*M27+N(M27="")*-1),0))</f>
        <v>PSO</v>
      </c>
      <c r="P27" s="12" t="str">
        <f>INDEX({"AG","PSO","RS","BO"},MATCH(MIN(H27,N(J27&lt;&gt;"")*J27+N(J27="")*999999,N(L27&lt;&gt;"")*L27+N(L27="")*999999,N(N27&lt;&gt;"")*N27+N(N27="")*999999),CHOOSE({1,2,3,4},H27,N(J27&lt;&gt;"")*J27+N(J27="")*999999,N(L27&lt;&gt;"")*L27+N(L27="")*999999,N(N27&lt;&gt;"")*N27+N(N27="")*999999),0))</f>
        <v>AG</v>
      </c>
    </row>
    <row r="28" spans="1:16" x14ac:dyDescent="0.35">
      <c r="A28" s="7" t="s">
        <v>41</v>
      </c>
      <c r="B28" s="7" t="s">
        <v>13</v>
      </c>
      <c r="C28" s="7">
        <v>5</v>
      </c>
      <c r="D28" s="7" t="s">
        <v>26</v>
      </c>
      <c r="E28" s="7" t="s">
        <v>27</v>
      </c>
      <c r="F28" s="7" t="s">
        <v>46</v>
      </c>
      <c r="G28" s="8">
        <v>0.87132591408999782</v>
      </c>
      <c r="H28" s="9">
        <v>266.98399999999998</v>
      </c>
      <c r="I28" s="8">
        <v>0.85778485674650196</v>
      </c>
      <c r="J28" s="9">
        <v>325.48</v>
      </c>
      <c r="K28" s="10"/>
      <c r="L28" s="11"/>
      <c r="M28" s="10"/>
      <c r="N28" s="11"/>
      <c r="O28" s="12" t="str">
        <f>INDEX({"AG","PSO","RS","BO"},MATCH(MAX(G28,N(I28&lt;&gt;"")*I28+N(I28="")*-1,N(K28&lt;&gt;"")*K28+N(K28="")*-1,N(M28&lt;&gt;"")*M28+N(M28="")*-1),CHOOSE({1,2,3,4},G28,N(I28&lt;&gt;"")*I28+N(I28="")*-1,N(K28&lt;&gt;"")*K28+N(K28="")*-1,N(M28&lt;&gt;"")*M28+N(M28="")*-1),0))</f>
        <v>AG</v>
      </c>
      <c r="P28" s="12" t="str">
        <f>INDEX({"AG","PSO","RS","BO"},MATCH(MIN(H28,N(J28&lt;&gt;"")*J28+N(J28="")*999999,N(L28&lt;&gt;"")*L28+N(L28="")*999999,N(N28&lt;&gt;"")*N28+N(N28="")*999999),CHOOSE({1,2,3,4},H28,N(J28&lt;&gt;"")*J28+N(J28="")*999999,N(L28&lt;&gt;"")*L28+N(L28="")*999999,N(N28&lt;&gt;"")*N28+N(N28="")*999999),0))</f>
        <v>AG</v>
      </c>
    </row>
    <row r="29" spans="1:16" x14ac:dyDescent="0.35">
      <c r="A29" s="13" t="s">
        <v>41</v>
      </c>
      <c r="B29" s="13" t="s">
        <v>29</v>
      </c>
      <c r="C29" s="13">
        <v>1</v>
      </c>
      <c r="D29" s="13" t="s">
        <v>14</v>
      </c>
      <c r="E29" s="13" t="s">
        <v>15</v>
      </c>
      <c r="F29" s="13" t="s">
        <v>47</v>
      </c>
      <c r="G29" s="8">
        <v>0.84794394385253957</v>
      </c>
      <c r="H29" s="9">
        <v>269.93900000000002</v>
      </c>
      <c r="I29" s="8">
        <v>0.95180247549145736</v>
      </c>
      <c r="J29" s="9">
        <v>306.27600000000001</v>
      </c>
      <c r="K29" s="10"/>
      <c r="L29" s="11"/>
      <c r="M29" s="10"/>
      <c r="N29" s="11"/>
      <c r="O29" s="12" t="str">
        <f>INDEX({"AG","PSO","RS","BO"},MATCH(MAX(G29,N(I29&lt;&gt;"")*I29+N(I29="")*-1,N(K29&lt;&gt;"")*K29+N(K29="")*-1,N(M29&lt;&gt;"")*M29+N(M29="")*-1),CHOOSE({1,2,3,4},G29,N(I29&lt;&gt;"")*I29+N(I29="")*-1,N(K29&lt;&gt;"")*K29+N(K29="")*-1,N(M29&lt;&gt;"")*M29+N(M29="")*-1),0))</f>
        <v>PSO</v>
      </c>
      <c r="P29" s="12" t="str">
        <f>INDEX({"AG","PSO","RS","BO"},MATCH(MIN(H29,N(J29&lt;&gt;"")*J29+N(J29="")*999999,N(L29&lt;&gt;"")*L29+N(L29="")*999999,N(N29&lt;&gt;"")*N29+N(N29="")*999999),CHOOSE({1,2,3,4},H29,N(J29&lt;&gt;"")*J29+N(J29="")*999999,N(L29&lt;&gt;"")*L29+N(L29="")*999999,N(N29&lt;&gt;"")*N29+N(N29="")*999999),0))</f>
        <v>AG</v>
      </c>
    </row>
    <row r="30" spans="1:16" x14ac:dyDescent="0.35">
      <c r="A30" s="13" t="s">
        <v>41</v>
      </c>
      <c r="B30" s="13" t="s">
        <v>29</v>
      </c>
      <c r="C30" s="13">
        <v>2</v>
      </c>
      <c r="D30" s="13" t="s">
        <v>17</v>
      </c>
      <c r="E30" s="13" t="s">
        <v>18</v>
      </c>
      <c r="F30" s="13" t="s">
        <v>48</v>
      </c>
      <c r="G30" s="8">
        <v>0.95567614542001922</v>
      </c>
      <c r="H30" s="9">
        <v>263.024</v>
      </c>
      <c r="I30" s="8">
        <v>0.8746902764281983</v>
      </c>
      <c r="J30" s="9">
        <v>304.613</v>
      </c>
      <c r="K30" s="10"/>
      <c r="L30" s="11"/>
      <c r="M30" s="10"/>
      <c r="N30" s="11"/>
      <c r="O30" s="12" t="str">
        <f>INDEX({"AG","PSO","RS","BO"},MATCH(MAX(G30,N(I30&lt;&gt;"")*I30+N(I30="")*-1,N(K30&lt;&gt;"")*K30+N(K30="")*-1,N(M30&lt;&gt;"")*M30+N(M30="")*-1),CHOOSE({1,2,3,4},G30,N(I30&lt;&gt;"")*I30+N(I30="")*-1,N(K30&lt;&gt;"")*K30+N(K30="")*-1,N(M30&lt;&gt;"")*M30+N(M30="")*-1),0))</f>
        <v>AG</v>
      </c>
      <c r="P30" s="12" t="str">
        <f>INDEX({"AG","PSO","RS","BO"},MATCH(MIN(H30,N(J30&lt;&gt;"")*J30+N(J30="")*999999,N(L30&lt;&gt;"")*L30+N(L30="")*999999,N(N30&lt;&gt;"")*N30+N(N30="")*999999),CHOOSE({1,2,3,4},H30,N(J30&lt;&gt;"")*J30+N(J30="")*999999,N(L30&lt;&gt;"")*L30+N(L30="")*999999,N(N30&lt;&gt;"")*N30+N(N30="")*999999),0))</f>
        <v>AG</v>
      </c>
    </row>
    <row r="31" spans="1:16" x14ac:dyDescent="0.35">
      <c r="A31" s="13" t="s">
        <v>41</v>
      </c>
      <c r="B31" s="13" t="s">
        <v>29</v>
      </c>
      <c r="C31" s="13">
        <v>3</v>
      </c>
      <c r="D31" s="13" t="s">
        <v>20</v>
      </c>
      <c r="E31" s="13" t="s">
        <v>21</v>
      </c>
      <c r="F31" s="13" t="s">
        <v>49</v>
      </c>
      <c r="G31" s="8">
        <v>0.7496885415628779</v>
      </c>
      <c r="H31" s="9">
        <v>246.358</v>
      </c>
      <c r="I31" s="8">
        <v>0.97236595525642044</v>
      </c>
      <c r="J31" s="9">
        <v>304.21499999999997</v>
      </c>
      <c r="K31" s="10"/>
      <c r="L31" s="11"/>
      <c r="M31" s="10"/>
      <c r="N31" s="11"/>
      <c r="O31" s="12" t="str">
        <f>INDEX({"AG","PSO","RS","BO"},MATCH(MAX(G31,N(I31&lt;&gt;"")*I31+N(I31="")*-1,N(K31&lt;&gt;"")*K31+N(K31="")*-1,N(M31&lt;&gt;"")*M31+N(M31="")*-1),CHOOSE({1,2,3,4},G31,N(I31&lt;&gt;"")*I31+N(I31="")*-1,N(K31&lt;&gt;"")*K31+N(K31="")*-1,N(M31&lt;&gt;"")*M31+N(M31="")*-1),0))</f>
        <v>PSO</v>
      </c>
      <c r="P31" s="12" t="str">
        <f>INDEX({"AG","PSO","RS","BO"},MATCH(MIN(H31,N(J31&lt;&gt;"")*J31+N(J31="")*999999,N(L31&lt;&gt;"")*L31+N(L31="")*999999,N(N31&lt;&gt;"")*N31+N(N31="")*999999),CHOOSE({1,2,3,4},H31,N(J31&lt;&gt;"")*J31+N(J31="")*999999,N(L31&lt;&gt;"")*L31+N(L31="")*999999,N(N31&lt;&gt;"")*N31+N(N31="")*999999),0))</f>
        <v>AG</v>
      </c>
    </row>
    <row r="32" spans="1:16" x14ac:dyDescent="0.35">
      <c r="A32" s="13" t="s">
        <v>41</v>
      </c>
      <c r="B32" s="13" t="s">
        <v>29</v>
      </c>
      <c r="C32" s="13">
        <v>4</v>
      </c>
      <c r="D32" s="13" t="s">
        <v>23</v>
      </c>
      <c r="E32" s="13" t="s">
        <v>24</v>
      </c>
      <c r="F32" s="13" t="s">
        <v>50</v>
      </c>
      <c r="G32" s="8">
        <v>0.83973457017307018</v>
      </c>
      <c r="H32" s="9">
        <v>250.07900000000001</v>
      </c>
      <c r="I32" s="8">
        <v>0.74922947812508722</v>
      </c>
      <c r="J32" s="9">
        <v>296.315</v>
      </c>
      <c r="K32" s="10"/>
      <c r="L32" s="11"/>
      <c r="M32" s="10"/>
      <c r="N32" s="11"/>
      <c r="O32" s="12" t="str">
        <f>INDEX({"AG","PSO","RS","BO"},MATCH(MAX(G32,N(I32&lt;&gt;"")*I32+N(I32="")*-1,N(K32&lt;&gt;"")*K32+N(K32="")*-1,N(M32&lt;&gt;"")*M32+N(M32="")*-1),CHOOSE({1,2,3,4},G32,N(I32&lt;&gt;"")*I32+N(I32="")*-1,N(K32&lt;&gt;"")*K32+N(K32="")*-1,N(M32&lt;&gt;"")*M32+N(M32="")*-1),0))</f>
        <v>AG</v>
      </c>
      <c r="P32" s="12" t="str">
        <f>INDEX({"AG","PSO","RS","BO"},MATCH(MIN(H32,N(J32&lt;&gt;"")*J32+N(J32="")*999999,N(L32&lt;&gt;"")*L32+N(L32="")*999999,N(N32&lt;&gt;"")*N32+N(N32="")*999999),CHOOSE({1,2,3,4},H32,N(J32&lt;&gt;"")*J32+N(J32="")*999999,N(L32&lt;&gt;"")*L32+N(L32="")*999999,N(N32&lt;&gt;"")*N32+N(N32="")*999999),0))</f>
        <v>AG</v>
      </c>
    </row>
    <row r="33" spans="1:16" x14ac:dyDescent="0.35">
      <c r="A33" s="13" t="s">
        <v>41</v>
      </c>
      <c r="B33" s="13" t="s">
        <v>29</v>
      </c>
      <c r="C33" s="13">
        <v>5</v>
      </c>
      <c r="D33" s="13" t="s">
        <v>26</v>
      </c>
      <c r="E33" s="13" t="s">
        <v>27</v>
      </c>
      <c r="F33" s="13" t="s">
        <v>51</v>
      </c>
      <c r="G33" s="8">
        <v>0.84706075475267517</v>
      </c>
      <c r="H33" s="9">
        <v>266.14999999999998</v>
      </c>
      <c r="I33" s="8">
        <v>0.7491247884098382</v>
      </c>
      <c r="J33" s="9">
        <v>322.61099999999999</v>
      </c>
      <c r="K33" s="10"/>
      <c r="L33" s="11"/>
      <c r="M33" s="10"/>
      <c r="N33" s="11"/>
      <c r="O33" s="12" t="str">
        <f>INDEX({"AG","PSO","RS","BO"},MATCH(MAX(G33,N(I33&lt;&gt;"")*I33+N(I33="")*-1,N(K33&lt;&gt;"")*K33+N(K33="")*-1,N(M33&lt;&gt;"")*M33+N(M33="")*-1),CHOOSE({1,2,3,4},G33,N(I33&lt;&gt;"")*I33+N(I33="")*-1,N(K33&lt;&gt;"")*K33+N(K33="")*-1,N(M33&lt;&gt;"")*M33+N(M33="")*-1),0))</f>
        <v>AG</v>
      </c>
      <c r="P33" s="12" t="str">
        <f>INDEX({"AG","PSO","RS","BO"},MATCH(MIN(H33,N(J33&lt;&gt;"")*J33+N(J33="")*999999,N(L33&lt;&gt;"")*L33+N(L33="")*999999,N(N33&lt;&gt;"")*N33+N(N33="")*999999),CHOOSE({1,2,3,4},H33,N(J33&lt;&gt;"")*J33+N(J33="")*999999,N(L33&lt;&gt;"")*L33+N(L33="")*999999,N(N33&lt;&gt;"")*N33+N(N33="")*999999),0))</f>
        <v>AG</v>
      </c>
    </row>
    <row r="34" spans="1:16" x14ac:dyDescent="0.35">
      <c r="A34" s="7" t="s">
        <v>52</v>
      </c>
      <c r="B34" s="7" t="s">
        <v>13</v>
      </c>
      <c r="C34" s="7">
        <v>1</v>
      </c>
      <c r="D34" s="7" t="s">
        <v>14</v>
      </c>
      <c r="E34" s="7" t="s">
        <v>15</v>
      </c>
      <c r="F34" s="7" t="s">
        <v>42</v>
      </c>
      <c r="G34" s="8">
        <v>0.94751998423908956</v>
      </c>
      <c r="H34" s="9">
        <v>234.58600000000001</v>
      </c>
      <c r="I34" s="8">
        <v>0.98944826113414641</v>
      </c>
      <c r="J34" s="9">
        <v>272.101</v>
      </c>
      <c r="K34" s="10"/>
      <c r="L34" s="11"/>
      <c r="M34" s="10"/>
      <c r="N34" s="11"/>
      <c r="O34" s="12" t="str">
        <f>INDEX({"AG","PSO","RS","BO"},MATCH(MAX(G34,N(I34&lt;&gt;"")*I34+N(I34="")*-1,N(K34&lt;&gt;"")*K34+N(K34="")*-1,N(M34&lt;&gt;"")*M34+N(M34="")*-1),CHOOSE({1,2,3,4},G34,N(I34&lt;&gt;"")*I34+N(I34="")*-1,N(K34&lt;&gt;"")*K34+N(K34="")*-1,N(M34&lt;&gt;"")*M34+N(M34="")*-1),0))</f>
        <v>PSO</v>
      </c>
      <c r="P34" s="12" t="str">
        <f>INDEX({"AG","PSO","RS","BO"},MATCH(MIN(H34,N(J34&lt;&gt;"")*J34+N(J34="")*999999,N(L34&lt;&gt;"")*L34+N(L34="")*999999,N(N34&lt;&gt;"")*N34+N(N34="")*999999),CHOOSE({1,2,3,4},H34,N(J34&lt;&gt;"")*J34+N(J34="")*999999,N(L34&lt;&gt;"")*L34+N(L34="")*999999,N(N34&lt;&gt;"")*N34+N(N34="")*999999),0))</f>
        <v>AG</v>
      </c>
    </row>
    <row r="35" spans="1:16" x14ac:dyDescent="0.35">
      <c r="A35" s="7" t="s">
        <v>52</v>
      </c>
      <c r="B35" s="7" t="s">
        <v>13</v>
      </c>
      <c r="C35" s="7">
        <v>2</v>
      </c>
      <c r="D35" s="7" t="s">
        <v>17</v>
      </c>
      <c r="E35" s="7" t="s">
        <v>18</v>
      </c>
      <c r="F35" s="7" t="s">
        <v>43</v>
      </c>
      <c r="G35" s="8">
        <v>0.94934286466357365</v>
      </c>
      <c r="H35" s="9">
        <v>216.494</v>
      </c>
      <c r="I35" s="8">
        <v>0.96911476814036879</v>
      </c>
      <c r="J35" s="9">
        <v>290.48200000000003</v>
      </c>
      <c r="K35" s="10"/>
      <c r="L35" s="11"/>
      <c r="M35" s="10"/>
      <c r="N35" s="11"/>
      <c r="O35" s="12" t="str">
        <f>INDEX({"AG","PSO","RS","BO"},MATCH(MAX(G35,N(I35&lt;&gt;"")*I35+N(I35="")*-1,N(K35&lt;&gt;"")*K35+N(K35="")*-1,N(M35&lt;&gt;"")*M35+N(M35="")*-1),CHOOSE({1,2,3,4},G35,N(I35&lt;&gt;"")*I35+N(I35="")*-1,N(K35&lt;&gt;"")*K35+N(K35="")*-1,N(M35&lt;&gt;"")*M35+N(M35="")*-1),0))</f>
        <v>PSO</v>
      </c>
      <c r="P35" s="12" t="str">
        <f>INDEX({"AG","PSO","RS","BO"},MATCH(MIN(H35,N(J35&lt;&gt;"")*J35+N(J35="")*999999,N(L35&lt;&gt;"")*L35+N(L35="")*999999,N(N35&lt;&gt;"")*N35+N(N35="")*999999),CHOOSE({1,2,3,4},H35,N(J35&lt;&gt;"")*J35+N(J35="")*999999,N(L35&lt;&gt;"")*L35+N(L35="")*999999,N(N35&lt;&gt;"")*N35+N(N35="")*999999),0))</f>
        <v>AG</v>
      </c>
    </row>
    <row r="36" spans="1:16" x14ac:dyDescent="0.35">
      <c r="A36" s="7" t="s">
        <v>52</v>
      </c>
      <c r="B36" s="7" t="s">
        <v>13</v>
      </c>
      <c r="C36" s="7">
        <v>3</v>
      </c>
      <c r="D36" s="7" t="s">
        <v>20</v>
      </c>
      <c r="E36" s="7" t="s">
        <v>21</v>
      </c>
      <c r="F36" s="7" t="s">
        <v>44</v>
      </c>
      <c r="G36" s="8">
        <v>0.95391429151731921</v>
      </c>
      <c r="H36" s="9">
        <v>233.40700000000001</v>
      </c>
      <c r="I36" s="8">
        <v>0.92427638855199878</v>
      </c>
      <c r="J36" s="9">
        <v>296.78699999999998</v>
      </c>
      <c r="K36" s="10"/>
      <c r="L36" s="11"/>
      <c r="M36" s="10"/>
      <c r="N36" s="11"/>
      <c r="O36" s="12" t="str">
        <f>INDEX({"AG","PSO","RS","BO"},MATCH(MAX(G36,N(I36&lt;&gt;"")*I36+N(I36="")*-1,N(K36&lt;&gt;"")*K36+N(K36="")*-1,N(M36&lt;&gt;"")*M36+N(M36="")*-1),CHOOSE({1,2,3,4},G36,N(I36&lt;&gt;"")*I36+N(I36="")*-1,N(K36&lt;&gt;"")*K36+N(K36="")*-1,N(M36&lt;&gt;"")*M36+N(M36="")*-1),0))</f>
        <v>AG</v>
      </c>
      <c r="P36" s="12" t="str">
        <f>INDEX({"AG","PSO","RS","BO"},MATCH(MIN(H36,N(J36&lt;&gt;"")*J36+N(J36="")*999999,N(L36&lt;&gt;"")*L36+N(L36="")*999999,N(N36&lt;&gt;"")*N36+N(N36="")*999999),CHOOSE({1,2,3,4},H36,N(J36&lt;&gt;"")*J36+N(J36="")*999999,N(L36&lt;&gt;"")*L36+N(L36="")*999999,N(N36&lt;&gt;"")*N36+N(N36="")*999999),0))</f>
        <v>AG</v>
      </c>
    </row>
    <row r="37" spans="1:16" x14ac:dyDescent="0.35">
      <c r="A37" s="7" t="s">
        <v>52</v>
      </c>
      <c r="B37" s="7" t="s">
        <v>13</v>
      </c>
      <c r="C37" s="7">
        <v>4</v>
      </c>
      <c r="D37" s="7" t="s">
        <v>23</v>
      </c>
      <c r="E37" s="7" t="s">
        <v>24</v>
      </c>
      <c r="F37" s="7" t="s">
        <v>45</v>
      </c>
      <c r="G37" s="8">
        <v>0.9452753622936414</v>
      </c>
      <c r="H37" s="9">
        <v>217.047</v>
      </c>
      <c r="I37" s="8">
        <v>0.96861937200080517</v>
      </c>
      <c r="J37" s="9">
        <v>297.786</v>
      </c>
      <c r="K37" s="10"/>
      <c r="L37" s="11"/>
      <c r="M37" s="10"/>
      <c r="N37" s="11"/>
      <c r="O37" s="12" t="str">
        <f>INDEX({"AG","PSO","RS","BO"},MATCH(MAX(G37,N(I37&lt;&gt;"")*I37+N(I37="")*-1,N(K37&lt;&gt;"")*K37+N(K37="")*-1,N(M37&lt;&gt;"")*M37+N(M37="")*-1),CHOOSE({1,2,3,4},G37,N(I37&lt;&gt;"")*I37+N(I37="")*-1,N(K37&lt;&gt;"")*K37+N(K37="")*-1,N(M37&lt;&gt;"")*M37+N(M37="")*-1),0))</f>
        <v>PSO</v>
      </c>
      <c r="P37" s="12" t="str">
        <f>INDEX({"AG","PSO","RS","BO"},MATCH(MIN(H37,N(J37&lt;&gt;"")*J37+N(J37="")*999999,N(L37&lt;&gt;"")*L37+N(L37="")*999999,N(N37&lt;&gt;"")*N37+N(N37="")*999999),CHOOSE({1,2,3,4},H37,N(J37&lt;&gt;"")*J37+N(J37="")*999999,N(L37&lt;&gt;"")*L37+N(L37="")*999999,N(N37&lt;&gt;"")*N37+N(N37="")*999999),0))</f>
        <v>AG</v>
      </c>
    </row>
    <row r="38" spans="1:16" x14ac:dyDescent="0.35">
      <c r="A38" s="7" t="s">
        <v>52</v>
      </c>
      <c r="B38" s="7" t="s">
        <v>13</v>
      </c>
      <c r="C38" s="7">
        <v>5</v>
      </c>
      <c r="D38" s="7" t="s">
        <v>26</v>
      </c>
      <c r="E38" s="7" t="s">
        <v>27</v>
      </c>
      <c r="F38" s="7" t="s">
        <v>46</v>
      </c>
      <c r="G38" s="8">
        <v>0.96041824175942003</v>
      </c>
      <c r="H38" s="9">
        <v>244.10900000000001</v>
      </c>
      <c r="I38" s="8">
        <v>0.96921000926104239</v>
      </c>
      <c r="J38" s="9">
        <v>308.94299999999998</v>
      </c>
      <c r="K38" s="10"/>
      <c r="L38" s="11"/>
      <c r="M38" s="10"/>
      <c r="N38" s="11"/>
      <c r="O38" s="12" t="str">
        <f>INDEX({"AG","PSO","RS","BO"},MATCH(MAX(G38,N(I38&lt;&gt;"")*I38+N(I38="")*-1,N(K38&lt;&gt;"")*K38+N(K38="")*-1,N(M38&lt;&gt;"")*M38+N(M38="")*-1),CHOOSE({1,2,3,4},G38,N(I38&lt;&gt;"")*I38+N(I38="")*-1,N(K38&lt;&gt;"")*K38+N(K38="")*-1,N(M38&lt;&gt;"")*M38+N(M38="")*-1),0))</f>
        <v>PSO</v>
      </c>
      <c r="P38" s="12" t="str">
        <f>INDEX({"AG","PSO","RS","BO"},MATCH(MIN(H38,N(J38&lt;&gt;"")*J38+N(J38="")*999999,N(L38&lt;&gt;"")*L38+N(L38="")*999999,N(N38&lt;&gt;"")*N38+N(N38="")*999999),CHOOSE({1,2,3,4},H38,N(J38&lt;&gt;"")*J38+N(J38="")*999999,N(L38&lt;&gt;"")*L38+N(L38="")*999999,N(N38&lt;&gt;"")*N38+N(N38="")*999999),0))</f>
        <v>AG</v>
      </c>
    </row>
    <row r="39" spans="1:16" x14ac:dyDescent="0.35">
      <c r="A39" s="13" t="s">
        <v>52</v>
      </c>
      <c r="B39" s="13" t="s">
        <v>29</v>
      </c>
      <c r="C39" s="13">
        <v>1</v>
      </c>
      <c r="D39" s="13" t="s">
        <v>14</v>
      </c>
      <c r="E39" s="13" t="s">
        <v>15</v>
      </c>
      <c r="F39" s="13" t="s">
        <v>53</v>
      </c>
      <c r="G39" s="8">
        <v>0.85446190850314496</v>
      </c>
      <c r="H39" s="9">
        <v>229.36600000000001</v>
      </c>
      <c r="I39" s="8">
        <v>0.8562704447636692</v>
      </c>
      <c r="J39" s="9">
        <v>259.55799999999999</v>
      </c>
      <c r="K39" s="10"/>
      <c r="L39" s="11"/>
      <c r="M39" s="10"/>
      <c r="N39" s="11"/>
      <c r="O39" s="12" t="str">
        <f>INDEX({"AG","PSO","RS","BO"},MATCH(MAX(G39,N(I39&lt;&gt;"")*I39+N(I39="")*-1,N(K39&lt;&gt;"")*K39+N(K39="")*-1,N(M39&lt;&gt;"")*M39+N(M39="")*-1),CHOOSE({1,2,3,4},G39,N(I39&lt;&gt;"")*I39+N(I39="")*-1,N(K39&lt;&gt;"")*K39+N(K39="")*-1,N(M39&lt;&gt;"")*M39+N(M39="")*-1),0))</f>
        <v>PSO</v>
      </c>
      <c r="P39" s="12" t="str">
        <f>INDEX({"AG","PSO","RS","BO"},MATCH(MIN(H39,N(J39&lt;&gt;"")*J39+N(J39="")*999999,N(L39&lt;&gt;"")*L39+N(L39="")*999999,N(N39&lt;&gt;"")*N39+N(N39="")*999999),CHOOSE({1,2,3,4},H39,N(J39&lt;&gt;"")*J39+N(J39="")*999999,N(L39&lt;&gt;"")*L39+N(L39="")*999999,N(N39&lt;&gt;"")*N39+N(N39="")*999999),0))</f>
        <v>AG</v>
      </c>
    </row>
    <row r="40" spans="1:16" x14ac:dyDescent="0.35">
      <c r="A40" s="13" t="s">
        <v>52</v>
      </c>
      <c r="B40" s="13" t="s">
        <v>29</v>
      </c>
      <c r="C40" s="13">
        <v>2</v>
      </c>
      <c r="D40" s="13" t="s">
        <v>17</v>
      </c>
      <c r="E40" s="13" t="s">
        <v>18</v>
      </c>
      <c r="F40" s="13" t="s">
        <v>54</v>
      </c>
      <c r="G40" s="8">
        <v>0.82020099847371197</v>
      </c>
      <c r="H40" s="9">
        <v>249.547</v>
      </c>
      <c r="I40" s="8">
        <v>0.74999436909356154</v>
      </c>
      <c r="J40" s="9">
        <v>291.12299999999999</v>
      </c>
      <c r="K40" s="10"/>
      <c r="L40" s="11"/>
      <c r="M40" s="10"/>
      <c r="N40" s="11"/>
      <c r="O40" s="12" t="str">
        <f>INDEX({"AG","PSO","RS","BO"},MATCH(MAX(G40,N(I40&lt;&gt;"")*I40+N(I40="")*-1,N(K40&lt;&gt;"")*K40+N(K40="")*-1,N(M40&lt;&gt;"")*M40+N(M40="")*-1),CHOOSE({1,2,3,4},G40,N(I40&lt;&gt;"")*I40+N(I40="")*-1,N(K40&lt;&gt;"")*K40+N(K40="")*-1,N(M40&lt;&gt;"")*M40+N(M40="")*-1),0))</f>
        <v>AG</v>
      </c>
      <c r="P40" s="12" t="str">
        <f>INDEX({"AG","PSO","RS","BO"},MATCH(MIN(H40,N(J40&lt;&gt;"")*J40+N(J40="")*999999,N(L40&lt;&gt;"")*L40+N(L40="")*999999,N(N40&lt;&gt;"")*N40+N(N40="")*999999),CHOOSE({1,2,3,4},H40,N(J40&lt;&gt;"")*J40+N(J40="")*999999,N(L40&lt;&gt;"")*L40+N(L40="")*999999,N(N40&lt;&gt;"")*N40+N(N40="")*999999),0))</f>
        <v>AG</v>
      </c>
    </row>
    <row r="41" spans="1:16" x14ac:dyDescent="0.35">
      <c r="A41" s="13" t="s">
        <v>52</v>
      </c>
      <c r="B41" s="13" t="s">
        <v>29</v>
      </c>
      <c r="C41" s="13">
        <v>3</v>
      </c>
      <c r="D41" s="13" t="s">
        <v>20</v>
      </c>
      <c r="E41" s="13" t="s">
        <v>21</v>
      </c>
      <c r="F41" s="13" t="s">
        <v>55</v>
      </c>
      <c r="G41" s="8">
        <v>0.92161481732403039</v>
      </c>
      <c r="H41" s="9">
        <v>240.559</v>
      </c>
      <c r="I41" s="8">
        <v>0.97832822875899039</v>
      </c>
      <c r="J41" s="9">
        <v>273.58</v>
      </c>
      <c r="K41" s="10"/>
      <c r="L41" s="11"/>
      <c r="M41" s="10"/>
      <c r="N41" s="11"/>
      <c r="O41" s="12" t="str">
        <f>INDEX({"AG","PSO","RS","BO"},MATCH(MAX(G41,N(I41&lt;&gt;"")*I41+N(I41="")*-1,N(K41&lt;&gt;"")*K41+N(K41="")*-1,N(M41&lt;&gt;"")*M41+N(M41="")*-1),CHOOSE({1,2,3,4},G41,N(I41&lt;&gt;"")*I41+N(I41="")*-1,N(K41&lt;&gt;"")*K41+N(K41="")*-1,N(M41&lt;&gt;"")*M41+N(M41="")*-1),0))</f>
        <v>PSO</v>
      </c>
      <c r="P41" s="12" t="str">
        <f>INDEX({"AG","PSO","RS","BO"},MATCH(MIN(H41,N(J41&lt;&gt;"")*J41+N(J41="")*999999,N(L41&lt;&gt;"")*L41+N(L41="")*999999,N(N41&lt;&gt;"")*N41+N(N41="")*999999),CHOOSE({1,2,3,4},H41,N(J41&lt;&gt;"")*J41+N(J41="")*999999,N(L41&lt;&gt;"")*L41+N(L41="")*999999,N(N41&lt;&gt;"")*N41+N(N41="")*999999),0))</f>
        <v>AG</v>
      </c>
    </row>
    <row r="42" spans="1:16" x14ac:dyDescent="0.35">
      <c r="A42" s="13" t="s">
        <v>52</v>
      </c>
      <c r="B42" s="13" t="s">
        <v>29</v>
      </c>
      <c r="C42" s="13">
        <v>4</v>
      </c>
      <c r="D42" s="13" t="s">
        <v>23</v>
      </c>
      <c r="E42" s="13" t="s">
        <v>24</v>
      </c>
      <c r="F42" s="13" t="s">
        <v>56</v>
      </c>
      <c r="G42" s="8">
        <v>0.74999815776801326</v>
      </c>
      <c r="H42" s="9">
        <v>235.05600000000001</v>
      </c>
      <c r="I42" s="8">
        <v>0.83866147258024681</v>
      </c>
      <c r="J42" s="9">
        <v>275.25</v>
      </c>
      <c r="K42" s="10"/>
      <c r="L42" s="11"/>
      <c r="M42" s="10"/>
      <c r="N42" s="11"/>
      <c r="O42" s="12" t="str">
        <f>INDEX({"AG","PSO","RS","BO"},MATCH(MAX(G42,N(I42&lt;&gt;"")*I42+N(I42="")*-1,N(K42&lt;&gt;"")*K42+N(K42="")*-1,N(M42&lt;&gt;"")*M42+N(M42="")*-1),CHOOSE({1,2,3,4},G42,N(I42&lt;&gt;"")*I42+N(I42="")*-1,N(K42&lt;&gt;"")*K42+N(K42="")*-1,N(M42&lt;&gt;"")*M42+N(M42="")*-1),0))</f>
        <v>PSO</v>
      </c>
      <c r="P42" s="12" t="str">
        <f>INDEX({"AG","PSO","RS","BO"},MATCH(MIN(H42,N(J42&lt;&gt;"")*J42+N(J42="")*999999,N(L42&lt;&gt;"")*L42+N(L42="")*999999,N(N42&lt;&gt;"")*N42+N(N42="")*999999),CHOOSE({1,2,3,4},H42,N(J42&lt;&gt;"")*J42+N(J42="")*999999,N(L42&lt;&gt;"")*L42+N(L42="")*999999,N(N42&lt;&gt;"")*N42+N(N42="")*999999),0))</f>
        <v>AG</v>
      </c>
    </row>
    <row r="43" spans="1:16" x14ac:dyDescent="0.35">
      <c r="A43" s="13" t="s">
        <v>52</v>
      </c>
      <c r="B43" s="13" t="s">
        <v>29</v>
      </c>
      <c r="C43" s="13">
        <v>5</v>
      </c>
      <c r="D43" s="13" t="s">
        <v>26</v>
      </c>
      <c r="E43" s="13" t="s">
        <v>27</v>
      </c>
      <c r="F43" s="13" t="s">
        <v>57</v>
      </c>
      <c r="G43" s="8">
        <v>0.84057432049075875</v>
      </c>
      <c r="H43" s="9">
        <v>274.08499999999998</v>
      </c>
      <c r="I43" s="8">
        <v>0.81326401212205002</v>
      </c>
      <c r="J43" s="9">
        <v>238.631</v>
      </c>
      <c r="K43" s="10"/>
      <c r="L43" s="11"/>
      <c r="M43" s="10"/>
      <c r="N43" s="11"/>
      <c r="O43" s="12" t="str">
        <f>INDEX({"AG","PSO","RS","BO"},MATCH(MAX(G43,N(I43&lt;&gt;"")*I43+N(I43="")*-1,N(K43&lt;&gt;"")*K43+N(K43="")*-1,N(M43&lt;&gt;"")*M43+N(M43="")*-1),CHOOSE({1,2,3,4},G43,N(I43&lt;&gt;"")*I43+N(I43="")*-1,N(K43&lt;&gt;"")*K43+N(K43="")*-1,N(M43&lt;&gt;"")*M43+N(M43="")*-1),0))</f>
        <v>AG</v>
      </c>
      <c r="P43" s="12" t="str">
        <f>INDEX({"AG","PSO","RS","BO"},MATCH(MIN(H43,N(J43&lt;&gt;"")*J43+N(J43="")*999999,N(L43&lt;&gt;"")*L43+N(L43="")*999999,N(N43&lt;&gt;"")*N43+N(N43="")*999999),CHOOSE({1,2,3,4},H43,N(J43&lt;&gt;"")*J43+N(J43="")*999999,N(L43&lt;&gt;"")*L43+N(L43="")*999999,N(N43&lt;&gt;"")*N43+N(N43="")*999999),0))</f>
        <v>PSO</v>
      </c>
    </row>
    <row r="45" spans="1:16" ht="15.5" x14ac:dyDescent="0.35">
      <c r="A45" s="14" t="s">
        <v>97</v>
      </c>
      <c r="G45" s="16"/>
    </row>
    <row r="46" spans="1:16" x14ac:dyDescent="0.35">
      <c r="A46" s="15" t="s">
        <v>58</v>
      </c>
      <c r="B46" s="15" t="s">
        <v>59</v>
      </c>
      <c r="C46" s="15" t="s">
        <v>60</v>
      </c>
      <c r="D46" s="15" t="s">
        <v>61</v>
      </c>
      <c r="E46" s="15" t="s">
        <v>62</v>
      </c>
    </row>
    <row r="47" spans="1:16" x14ac:dyDescent="0.35">
      <c r="A47" t="s">
        <v>63</v>
      </c>
      <c r="B47">
        <f>COUNT(G4:G43)</f>
        <v>40</v>
      </c>
      <c r="C47" s="16">
        <f>IFERROR(AVERAGE(G4:G43),"")</f>
        <v>0.88418536287028293</v>
      </c>
      <c r="D47" s="17">
        <f>IFERROR(AVERAGE(H4:H43),"")</f>
        <v>257.65817500000003</v>
      </c>
      <c r="E47">
        <f>COUNTIF(O4:O43,"AG")</f>
        <v>15</v>
      </c>
    </row>
    <row r="48" spans="1:16" x14ac:dyDescent="0.35">
      <c r="A48" t="s">
        <v>64</v>
      </c>
      <c r="B48">
        <f>COUNT(I4:I43)</f>
        <v>40</v>
      </c>
      <c r="C48" s="16">
        <f>IFERROR(AVERAGE(I4:I43),"")</f>
        <v>0.89727425497620439</v>
      </c>
      <c r="D48" s="17">
        <f>IFERROR(AVERAGE(J4:J43),"")</f>
        <v>315.07732499999992</v>
      </c>
      <c r="E48">
        <f>COUNTIF(O4:O43,"PSO")</f>
        <v>25</v>
      </c>
    </row>
    <row r="49" spans="1:5" x14ac:dyDescent="0.35">
      <c r="A49" t="s">
        <v>65</v>
      </c>
      <c r="B49">
        <f>COUNT(K4:K43)</f>
        <v>0</v>
      </c>
      <c r="C49" s="16" t="str">
        <f>IFERROR(AVERAGE(K4:K43),"")</f>
        <v/>
      </c>
      <c r="D49" s="17" t="str">
        <f>IFERROR(AVERAGE(L4:L43),"")</f>
        <v/>
      </c>
      <c r="E49">
        <f>COUNTIF(O4:O43,"RS")</f>
        <v>0</v>
      </c>
    </row>
    <row r="50" spans="1:5" x14ac:dyDescent="0.35">
      <c r="A50" t="s">
        <v>66</v>
      </c>
      <c r="B50">
        <f>COUNT(M4:M43)</f>
        <v>0</v>
      </c>
      <c r="C50" s="16" t="str">
        <f>IFERROR(AVERAGE(M4:M43),"")</f>
        <v/>
      </c>
      <c r="D50" s="17" t="str">
        <f>IFERROR(AVERAGE(N4:N43),"")</f>
        <v/>
      </c>
      <c r="E50">
        <f>COUNTIF(O4:O43,"BO")</f>
        <v>0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activeCell="D39" sqref="D39"/>
    </sheetView>
  </sheetViews>
  <sheetFormatPr baseColWidth="10" defaultColWidth="8.7265625" defaultRowHeight="14.5" x14ac:dyDescent="0.35"/>
  <cols>
    <col min="1" max="1" width="126.81640625" bestFit="1" customWidth="1"/>
    <col min="2" max="2" width="16" customWidth="1"/>
  </cols>
  <sheetData>
    <row r="1" spans="1:3" ht="15.5" x14ac:dyDescent="0.35">
      <c r="A1" s="21" t="s">
        <v>67</v>
      </c>
      <c r="B1" s="20"/>
      <c r="C1" s="20"/>
    </row>
    <row r="3" spans="1:3" x14ac:dyDescent="0.35">
      <c r="A3" s="25" t="s">
        <v>98</v>
      </c>
      <c r="B3" s="20"/>
    </row>
    <row r="4" spans="1:3" x14ac:dyDescent="0.35">
      <c r="A4" t="s">
        <v>68</v>
      </c>
      <c r="B4">
        <v>30</v>
      </c>
    </row>
    <row r="5" spans="1:3" x14ac:dyDescent="0.35">
      <c r="A5" t="s">
        <v>69</v>
      </c>
      <c r="B5">
        <v>40</v>
      </c>
    </row>
    <row r="6" spans="1:3" x14ac:dyDescent="0.35">
      <c r="A6" t="s">
        <v>70</v>
      </c>
      <c r="B6">
        <v>0.8</v>
      </c>
    </row>
    <row r="7" spans="1:3" x14ac:dyDescent="0.35">
      <c r="A7" t="s">
        <v>71</v>
      </c>
      <c r="B7">
        <v>0.25</v>
      </c>
    </row>
    <row r="8" spans="1:3" x14ac:dyDescent="0.35">
      <c r="A8" t="s">
        <v>72</v>
      </c>
      <c r="B8">
        <v>3</v>
      </c>
    </row>
    <row r="9" spans="1:3" x14ac:dyDescent="0.35">
      <c r="A9" t="s">
        <v>73</v>
      </c>
      <c r="B9">
        <v>4</v>
      </c>
    </row>
    <row r="11" spans="1:3" x14ac:dyDescent="0.35">
      <c r="A11" s="23" t="s">
        <v>99</v>
      </c>
      <c r="B11" s="20"/>
    </row>
    <row r="12" spans="1:3" x14ac:dyDescent="0.35">
      <c r="A12" t="s">
        <v>74</v>
      </c>
      <c r="B12">
        <v>30</v>
      </c>
    </row>
    <row r="13" spans="1:3" x14ac:dyDescent="0.35">
      <c r="A13" t="s">
        <v>75</v>
      </c>
      <c r="B13">
        <v>40</v>
      </c>
    </row>
    <row r="14" spans="1:3" x14ac:dyDescent="0.35">
      <c r="A14" t="s">
        <v>76</v>
      </c>
      <c r="B14">
        <v>0.7</v>
      </c>
    </row>
    <row r="15" spans="1:3" x14ac:dyDescent="0.35">
      <c r="A15" t="s">
        <v>77</v>
      </c>
      <c r="B15">
        <v>1.5</v>
      </c>
    </row>
    <row r="16" spans="1:3" x14ac:dyDescent="0.35">
      <c r="A16" t="s">
        <v>78</v>
      </c>
      <c r="B16">
        <v>1.5</v>
      </c>
    </row>
    <row r="18" spans="1:2" x14ac:dyDescent="0.35">
      <c r="A18" s="24" t="s">
        <v>100</v>
      </c>
      <c r="B18" s="20"/>
    </row>
    <row r="19" spans="1:2" x14ac:dyDescent="0.35">
      <c r="A19" s="18" t="s">
        <v>79</v>
      </c>
    </row>
    <row r="20" spans="1:2" x14ac:dyDescent="0.35">
      <c r="A20" s="18" t="s">
        <v>80</v>
      </c>
    </row>
    <row r="21" spans="1:2" x14ac:dyDescent="0.35">
      <c r="A21" s="18" t="s">
        <v>81</v>
      </c>
    </row>
    <row r="22" spans="1:2" x14ac:dyDescent="0.35">
      <c r="A22" s="18" t="s">
        <v>82</v>
      </c>
    </row>
    <row r="23" spans="1:2" x14ac:dyDescent="0.35">
      <c r="A23" s="18" t="s">
        <v>83</v>
      </c>
    </row>
    <row r="25" spans="1:2" x14ac:dyDescent="0.35">
      <c r="A25" s="22" t="s">
        <v>101</v>
      </c>
      <c r="B25" s="20"/>
    </row>
    <row r="26" spans="1:2" x14ac:dyDescent="0.35">
      <c r="A26" s="18" t="s">
        <v>84</v>
      </c>
    </row>
    <row r="27" spans="1:2" x14ac:dyDescent="0.35">
      <c r="A27" s="18" t="s">
        <v>85</v>
      </c>
    </row>
    <row r="28" spans="1:2" x14ac:dyDescent="0.35">
      <c r="A28" s="18" t="s">
        <v>86</v>
      </c>
    </row>
    <row r="29" spans="1:2" x14ac:dyDescent="0.35">
      <c r="A29" s="18" t="s">
        <v>87</v>
      </c>
    </row>
    <row r="30" spans="1:2" x14ac:dyDescent="0.35">
      <c r="A30" s="18" t="s">
        <v>83</v>
      </c>
    </row>
    <row r="33" spans="1:1" x14ac:dyDescent="0.35">
      <c r="A33" s="15" t="s">
        <v>88</v>
      </c>
    </row>
    <row r="34" spans="1:1" x14ac:dyDescent="0.35">
      <c r="A34" t="s">
        <v>89</v>
      </c>
    </row>
    <row r="35" spans="1:1" x14ac:dyDescent="0.35">
      <c r="A35" t="s">
        <v>90</v>
      </c>
    </row>
    <row r="36" spans="1:1" x14ac:dyDescent="0.35">
      <c r="A36" t="s">
        <v>91</v>
      </c>
    </row>
  </sheetData>
  <mergeCells count="5">
    <mergeCell ref="A1:C1"/>
    <mergeCell ref="A25:B25"/>
    <mergeCell ref="A11:B1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Comparativa 4 algoritmos</vt:lpstr>
      <vt:lpstr>Parametros usados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Eduardo Dávila Muñoz</cp:lastModifiedBy>
  <dcterms:created xsi:type="dcterms:W3CDTF">2026-08-26T13:23:35Z</dcterms:created>
  <dcterms:modified xsi:type="dcterms:W3CDTF">2026-08-26T13:33:22Z</dcterms:modified>
</cp:coreProperties>
</file>